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Features" sheetId="1" state="visible" r:id="rId3"/>
    <sheet name="A5 Pop Education" sheetId="2" state="visible" r:id="rId4"/>
    <sheet name="A6 Head Education" sheetId="3" state="visible" r:id="rId5"/>
    <sheet name="A12 Attendance 5-19" sheetId="4" state="visible" r:id="rId6"/>
    <sheet name="A13 Attendance 5-14" sheetId="5" state="visible" r:id="rId7"/>
    <sheet name="A14 Distance" sheetId="6" state="visible" r:id="rId8"/>
    <sheet name="A15 Travel Mode" sheetId="7" state="visible" r:id="rId9"/>
    <sheet name="School Census 2025" sheetId="8" state="visible" r:id="rId10"/>
    <sheet name="Notes" sheetId="9" state="visible" r:id="rId11"/>
  </sheets>
  <definedNames>
    <definedName function="false" hidden="true" localSheetId="3" name="_xlnm._FilterDatabase" vbProcedure="false">'A12 Attendance 5-19'!$A$3:$E$28</definedName>
    <definedName function="false" hidden="true" localSheetId="4" name="_xlnm._FilterDatabase" vbProcedure="false">'A13 Attendance 5-14'!$A$3:$E$28</definedName>
    <definedName function="false" hidden="true" localSheetId="5" name="_xlnm._FilterDatabase" vbProcedure="false">'A14 Distance'!$A$3:$G$28</definedName>
    <definedName function="false" hidden="true" localSheetId="6" name="_xlnm._FilterDatabase" vbProcedure="false">'A15 Travel Mode'!$A$3:$I$28</definedName>
    <definedName function="false" hidden="true" localSheetId="1" name="_xlnm._FilterDatabase" vbProcedure="false">'A5 Pop Education'!$A$3:$H$28</definedName>
    <definedName function="false" hidden="true" localSheetId="2" name="_xlnm._FilterDatabase" vbProcedure="false">'A6 Head Education'!$A$3:$H$28</definedName>
    <definedName function="false" hidden="true" localSheetId="0" name="_xlnm._FilterDatabase" vbProcedure="false">'Model Features'!$A$1:$X$26</definedName>
    <definedName function="false" hidden="true" localSheetId="7" name="_xlnm._FilterDatabase" vbProcedure="false">'School Census 2025'!$A$3:$N$28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<sst xmlns="http://schemas.openxmlformats.org/spreadsheetml/2006/main" count="528" uniqueCount="135">
  <si>
    <t xml:space="preserve">District</t>
  </si>
  <si>
    <t xml:space="preserve">Province</t>
  </si>
  <si>
    <t xml:space="preserve">f1_pop_no_school_pct</t>
  </si>
  <si>
    <t xml:space="preserve">f2_pop_upto_grade5_pct</t>
  </si>
  <si>
    <t xml:space="preserve">f3_pop_passed_OL_pct</t>
  </si>
  <si>
    <t xml:space="preserve">f4_head_no_school_pct</t>
  </si>
  <si>
    <t xml:space="preserve">f5_head_upto_grade5_pct</t>
  </si>
  <si>
    <t xml:space="preserve">f6_head_passed_OL_or_above_pct</t>
  </si>
  <si>
    <t xml:space="preserve">f7_attending_5_19_pct</t>
  </si>
  <si>
    <t xml:space="preserve">f8_dropout_5_19_pct</t>
  </si>
  <si>
    <t xml:space="preserve">f9_never_attended_5_14_pct</t>
  </si>
  <si>
    <t xml:space="preserve">f10_school_5km_plus_pct</t>
  </si>
  <si>
    <t xml:space="preserve">f11_walk_to_school_pct</t>
  </si>
  <si>
    <t xml:space="preserve">f12_students_2025</t>
  </si>
  <si>
    <t xml:space="preserve">f13_pct_students_national_schools</t>
  </si>
  <si>
    <t xml:space="preserve">f14_students_per_teacher</t>
  </si>
  <si>
    <t xml:space="preserve">f15_students_per_school</t>
  </si>
  <si>
    <t xml:space="preserve">f16_mpi_poor_pct_2019</t>
  </si>
  <si>
    <t xml:space="preserve">f17_food_insecure_pct_2024</t>
  </si>
  <si>
    <t xml:space="preserve">f18_disaster_affected_per_1000_2020_26</t>
  </si>
  <si>
    <t xml:space="preserve">f19_population_2024</t>
  </si>
  <si>
    <t xml:space="preserve">f20_OL_failed_all_pct_2024</t>
  </si>
  <si>
    <t xml:space="preserve">f21_fog_essp_students_given</t>
  </si>
  <si>
    <t xml:space="preserve">TARGET_OL_not_qualified_pct_2024</t>
  </si>
  <si>
    <t xml:space="preserve">Colombo</t>
  </si>
  <si>
    <t xml:space="preserve">Western</t>
  </si>
  <si>
    <t xml:space="preserve">Gampaha</t>
  </si>
  <si>
    <t xml:space="preserve">Kalutara</t>
  </si>
  <si>
    <t xml:space="preserve">Kandy</t>
  </si>
  <si>
    <t xml:space="preserve">Central</t>
  </si>
  <si>
    <t xml:space="preserve">Matale</t>
  </si>
  <si>
    <t xml:space="preserve">Nuwara Eliya</t>
  </si>
  <si>
    <t xml:space="preserve">Galle</t>
  </si>
  <si>
    <t xml:space="preserve">Southern</t>
  </si>
  <si>
    <t xml:space="preserve">Matara</t>
  </si>
  <si>
    <t xml:space="preserve">Hambantota</t>
  </si>
  <si>
    <t xml:space="preserve">Jaffna</t>
  </si>
  <si>
    <t xml:space="preserve">Northern</t>
  </si>
  <si>
    <t xml:space="preserve">Mannar</t>
  </si>
  <si>
    <t xml:space="preserve">Vavuniya</t>
  </si>
  <si>
    <t xml:space="preserve">Mullaitivu</t>
  </si>
  <si>
    <t xml:space="preserve">Kilinochchi</t>
  </si>
  <si>
    <t xml:space="preserve">Batticaloa</t>
  </si>
  <si>
    <t xml:space="preserve">Eastern</t>
  </si>
  <si>
    <t xml:space="preserve">Ampara</t>
  </si>
  <si>
    <t xml:space="preserve">Trincomalee</t>
  </si>
  <si>
    <t xml:space="preserve">Kurunegala</t>
  </si>
  <si>
    <t xml:space="preserve">North Western</t>
  </si>
  <si>
    <t xml:space="preserve">Puttalam</t>
  </si>
  <si>
    <t xml:space="preserve">Anuradhapura</t>
  </si>
  <si>
    <t xml:space="preserve">North Central</t>
  </si>
  <si>
    <t xml:space="preserve">Polonnaruwa</t>
  </si>
  <si>
    <t xml:space="preserve">Badulla</t>
  </si>
  <si>
    <t xml:space="preserve">Uva</t>
  </si>
  <si>
    <t xml:space="preserve">Monaragala</t>
  </si>
  <si>
    <t xml:space="preserve">Ratnapura</t>
  </si>
  <si>
    <t xml:space="preserve">Sabaragamuwa</t>
  </si>
  <si>
    <t xml:space="preserve">Kegalle</t>
  </si>
  <si>
    <t xml:space="preserve">Black = linked by formula to the source sheets; blue = typed from other sources (see Notes). TARGET (red) = what the model learns to predict.</t>
  </si>
  <si>
    <t xml:space="preserve">Table A5: % of population (aged 5+) by level of education, 2019</t>
  </si>
  <si>
    <t xml:space="preserve">No schooling (%)</t>
  </si>
  <si>
    <t xml:space="preserve">Up to grade 5 (%)</t>
  </si>
  <si>
    <t xml:space="preserve">Passed grade 6-10 (%)</t>
  </si>
  <si>
    <t xml:space="preserve">Passed O/L (%)</t>
  </si>
  <si>
    <t xml:space="preserve">Passed A/L (%)</t>
  </si>
  <si>
    <t xml:space="preserve">Degree &amp; above (%)</t>
  </si>
  <si>
    <t xml:space="preserve">Source: Department of Census and Statistics, Household Income and Expenditure Survey 2019 (transcribed from tables provided by user). "—" (too few cases) left blank.</t>
  </si>
  <si>
    <t xml:space="preserve">Table A6: % of heads of household by level of education, 2019</t>
  </si>
  <si>
    <t xml:space="preserve">Table A12: % of population aged 5-19 by school attendance, 2019</t>
  </si>
  <si>
    <t xml:space="preserve">Currently attending (%)</t>
  </si>
  <si>
    <t xml:space="preserve">Never attended (%)</t>
  </si>
  <si>
    <t xml:space="preserve">Attended in the past / dropped out (%)</t>
  </si>
  <si>
    <t xml:space="preserve">Table A13: % of population aged 5-14 by school attendance, 2019</t>
  </si>
  <si>
    <t xml:space="preserve">Attended in the past (%)</t>
  </si>
  <si>
    <t xml:space="preserve">Table A14: % of students (5-19) by distance from home to school, 2019</t>
  </si>
  <si>
    <t xml:space="preserve">Less than 1 km (%)</t>
  </si>
  <si>
    <t xml:space="preserve">1-3 km (%)</t>
  </si>
  <si>
    <t xml:space="preserve">3-5 km (%)</t>
  </si>
  <si>
    <t xml:space="preserve">5-10 km (%)</t>
  </si>
  <si>
    <t xml:space="preserve">10 km or more (%)</t>
  </si>
  <si>
    <t xml:space="preserve">Table A15: % of students (5-19) by main mode of travel to school, 2019</t>
  </si>
  <si>
    <t xml:space="preserve">Walking (%)</t>
  </si>
  <si>
    <t xml:space="preserve">Bicycle (%)</t>
  </si>
  <si>
    <t xml:space="preserve">Motorbike / three-wheel / car (%)</t>
  </si>
  <si>
    <t xml:space="preserve">School van (%)</t>
  </si>
  <si>
    <t xml:space="preserve">Bus (%)</t>
  </si>
  <si>
    <t xml:space="preserve">Train (%)</t>
  </si>
  <si>
    <t xml:space="preserve">Other (%)</t>
  </si>
  <si>
    <t xml:space="preserve">Table 14: Basic statistics of national and provincial schools by district, 2025</t>
  </si>
  <si>
    <t xml:space="preserve">Schools – total</t>
  </si>
  <si>
    <t xml:space="preserve">Schools – national</t>
  </si>
  <si>
    <t xml:space="preserve">Schools – provincial</t>
  </si>
  <si>
    <t xml:space="preserve">Students – total</t>
  </si>
  <si>
    <t xml:space="preserve">Students – national</t>
  </si>
  <si>
    <t xml:space="preserve">Students – provincial</t>
  </si>
  <si>
    <t xml:space="preserve">% students in national schools</t>
  </si>
  <si>
    <t xml:space="preserve">Teachers – total</t>
  </si>
  <si>
    <t xml:space="preserve">Teachers – national</t>
  </si>
  <si>
    <t xml:space="preserve">Teachers – provincial</t>
  </si>
  <si>
    <t xml:space="preserve">Students per teacher</t>
  </si>
  <si>
    <t xml:space="preserve">Students per school</t>
  </si>
  <si>
    <t xml:space="preserve">TOTAL</t>
  </si>
  <si>
    <t xml:space="preserve">Source: Ministry of Education, School Census 2025, Table 14 (Statistics Branch). Provincial counts, % and ratios are formulas.</t>
  </si>
  <si>
    <t xml:space="preserve">Feature</t>
  </si>
  <si>
    <t xml:space="preserve">Meaning and source</t>
  </si>
  <si>
    <t xml:space="preserve">f1–f3</t>
  </si>
  <si>
    <t xml:space="preserve">Population 5+ education levels — HIES 2019 Table A5</t>
  </si>
  <si>
    <t xml:space="preserve">f4–f6</t>
  </si>
  <si>
    <t xml:space="preserve">Head of household education — HIES 2019 Table A6 (low parent education = less support for learning)</t>
  </si>
  <si>
    <t xml:space="preserve">f7–f8</t>
  </si>
  <si>
    <t xml:space="preserve">Ages 5–19 attending / dropped out — HIES 2019 Table A12</t>
  </si>
  <si>
    <t xml:space="preserve">f9</t>
  </si>
  <si>
    <t xml:space="preserve">Ages 5–14 never attended school — HIES 2019 Table A13</t>
  </si>
  <si>
    <t xml:space="preserve">f10</t>
  </si>
  <si>
    <t xml:space="preserve">Students travelling 5 km or more to school — HIES 2019 Table A14</t>
  </si>
  <si>
    <t xml:space="preserve">f11</t>
  </si>
  <si>
    <t xml:space="preserve">Students walking to school — HIES 2019 Table A15</t>
  </si>
  <si>
    <t xml:space="preserve">f12–f15</t>
  </si>
  <si>
    <t xml:space="preserve">Students, % in national schools, students per teacher, students per school — School Census 2025 Table 14</t>
  </si>
  <si>
    <t xml:space="preserve">f16</t>
  </si>
  <si>
    <t xml:space="preserve">MPI poverty headcount 2019 (DCS MPI report; most districts read from chart, approximate)</t>
  </si>
  <si>
    <t xml:space="preserve">f17</t>
  </si>
  <si>
    <t xml:space="preserve">Food-insecure households 2024 (WFP map)</t>
  </si>
  <si>
    <t xml:space="preserve">f18</t>
  </si>
  <si>
    <t xml:space="preserve">People affected by disasters 2020–2026 incl. Cyclone Ditwah, per 1,000 people (DMC situation reports)</t>
  </si>
  <si>
    <t xml:space="preserve">f19</t>
  </si>
  <si>
    <t xml:space="preserve">Population 2024 (Census 2024)</t>
  </si>
  <si>
    <t xml:space="preserve">f20</t>
  </si>
  <si>
    <t xml:space="preserve">% of O/L candidates failing all subjects 2024 (Department of Examinations)</t>
  </si>
  <si>
    <t xml:space="preserve">f21</t>
  </si>
  <si>
    <t xml:space="preserve">Students already given school packs by Foundation of Goodness (2025–26)</t>
  </si>
  <si>
    <t xml:space="preserve">TARGET</t>
  </si>
  <si>
    <t xml:space="preserve">% of O/L 2024 candidates NOT qualified for A/L (= 100 − qualified %), Department of Examinations Table 5b. A proxy for "learning need".</t>
  </si>
  <si>
    <t xml:space="preserve">Caution</t>
  </si>
  <si>
    <t xml:space="preserve">Only 25 districts = 25 rows. This is enough to practise the method, not to train a reliable XGBoost model. See the steps in the chat for getting more rows (education zones / DS divisions / schools).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</si>
</sst>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7F6000"/>
        <bgColor rgb="FF993300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7" min="3" style="0" width="11"/>
    <col collapsed="false" customWidth="true" hidden="false" outlineLevel="0" max="8" min="8" style="0" width="12"/>
    <col collapsed="false" customWidth="true" hidden="false" outlineLevel="0" max="14" min="9" style="0" width="11"/>
    <col collapsed="false" customWidth="true" hidden="false" outlineLevel="0" max="15" min="15" style="0" width="12"/>
    <col collapsed="false" customWidth="true" hidden="false" outlineLevel="0" max="19" min="16" style="0" width="11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3" min="22" style="0" width="11"/>
    <col collapsed="false" customWidth="true" hidden="false" outlineLevel="0" max="24" min="24" style="0" width="13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customFormat="false" ht="15" hidden="false" customHeight="false" outlineLevel="0" collapsed="false">
      <c r="A2" s="3" t="s">
        <v>24</v>
      </c>
      <c r="B2" s="4" t="s">
        <v>25</v>
      </c>
      <c r="C2" s="4" t="n">
        <f aca="false">'A5 Pop Education'!C4</f>
        <v>1.8</v>
      </c>
      <c r="D2" s="4" t="n">
        <f aca="false">'A5 Pop Education'!D4</f>
        <v>14.3</v>
      </c>
      <c r="E2" s="4" t="n">
        <f aca="false">'A5 Pop Education'!F4</f>
        <v>21.1</v>
      </c>
      <c r="F2" s="4" t="n">
        <f aca="false">'A6 Head Education'!C4</f>
        <v>1.6</v>
      </c>
      <c r="G2" s="4" t="n">
        <f aca="false">'A6 Head Education'!D4</f>
        <v>7.6</v>
      </c>
      <c r="H2" s="4" t="n">
        <f aca="false">SUM('A6 Head Education'!F4:H4)</f>
        <v>49.7</v>
      </c>
      <c r="I2" s="4" t="n">
        <f aca="false">'A12 Attendance 5-19'!C4</f>
        <v>85.7</v>
      </c>
      <c r="J2" s="4" t="n">
        <f aca="false">'A12 Attendance 5-19'!E4</f>
        <v>12.1</v>
      </c>
      <c r="K2" s="4" t="n">
        <f aca="false">'A13 Attendance 5-14'!D4</f>
        <v>3</v>
      </c>
      <c r="L2" s="4" t="n">
        <f aca="false">'A14 Distance'!F4+'A14 Distance'!G4</f>
        <v>32.9</v>
      </c>
      <c r="M2" s="4" t="n">
        <f aca="false">'A15 Travel Mode'!C4</f>
        <v>18.8</v>
      </c>
      <c r="N2" s="5" t="n">
        <f aca="false">'School Census 2025'!F4</f>
        <v>305506</v>
      </c>
      <c r="O2" s="4" t="n">
        <f aca="false">'School Census 2025'!I4</f>
        <v>38.60971633945</v>
      </c>
      <c r="P2" s="4" t="n">
        <f aca="false">'School Census 2025'!M4</f>
        <v>17.888862864504</v>
      </c>
      <c r="Q2" s="4" t="n">
        <f aca="false">'School Census 2025'!N4</f>
        <v>781.3452685422</v>
      </c>
      <c r="R2" s="6" t="n">
        <v>3.5</v>
      </c>
      <c r="S2" s="7" t="n">
        <v>6.7</v>
      </c>
      <c r="T2" s="4" t="n">
        <f aca="false">510040/U2*1000</f>
        <v>214.716165385838</v>
      </c>
      <c r="U2" s="7" t="n">
        <v>2375415</v>
      </c>
      <c r="V2" s="6" t="n">
        <v>2.41</v>
      </c>
      <c r="W2" s="6" t="n">
        <v>3</v>
      </c>
      <c r="X2" s="6" t="n">
        <v>22.8</v>
      </c>
    </row>
    <row r="3" customFormat="false" ht="15" hidden="false" customHeight="false" outlineLevel="0" collapsed="false">
      <c r="A3" s="3" t="s">
        <v>26</v>
      </c>
      <c r="B3" s="4" t="s">
        <v>25</v>
      </c>
      <c r="C3" s="4" t="n">
        <f aca="false">'A5 Pop Education'!C5</f>
        <v>1.6</v>
      </c>
      <c r="D3" s="4" t="n">
        <f aca="false">'A5 Pop Education'!D5</f>
        <v>13.2</v>
      </c>
      <c r="E3" s="4" t="n">
        <f aca="false">'A5 Pop Education'!F5</f>
        <v>21.9</v>
      </c>
      <c r="F3" s="4" t="n">
        <f aca="false">'A6 Head Education'!C5</f>
        <v>0.8</v>
      </c>
      <c r="G3" s="4" t="n">
        <f aca="false">'A6 Head Education'!D5</f>
        <v>7.7</v>
      </c>
      <c r="H3" s="4" t="n">
        <f aca="false">SUM('A6 Head Education'!F5:H5)</f>
        <v>42.7</v>
      </c>
      <c r="I3" s="4" t="n">
        <f aca="false">'A12 Attendance 5-19'!C5</f>
        <v>85</v>
      </c>
      <c r="J3" s="4" t="n">
        <f aca="false">'A12 Attendance 5-19'!E5</f>
        <v>11.8</v>
      </c>
      <c r="K3" s="4" t="n">
        <f aca="false">'A13 Attendance 5-14'!D5</f>
        <v>4.7</v>
      </c>
      <c r="L3" s="4" t="n">
        <f aca="false">'A14 Distance'!F5+'A14 Distance'!G5</f>
        <v>32</v>
      </c>
      <c r="M3" s="4" t="n">
        <f aca="false">'A15 Travel Mode'!C5</f>
        <v>20.7</v>
      </c>
      <c r="N3" s="5" t="n">
        <f aca="false">'School Census 2025'!F5</f>
        <v>297307</v>
      </c>
      <c r="O3" s="4" t="n">
        <f aca="false">'School Census 2025'!I5</f>
        <v>17.5135466033427</v>
      </c>
      <c r="P3" s="4" t="n">
        <f aca="false">'School Census 2025'!M5</f>
        <v>17.9262586674706</v>
      </c>
      <c r="Q3" s="4" t="n">
        <f aca="false">'School Census 2025'!N5</f>
        <v>557.799249530957</v>
      </c>
      <c r="R3" s="6" t="n">
        <v>5.1</v>
      </c>
      <c r="S3" s="7" t="n">
        <v>14.9</v>
      </c>
      <c r="T3" s="4" t="n">
        <f aca="false">748624/U3*1000</f>
        <v>307.298999811998</v>
      </c>
      <c r="U3" s="7" t="n">
        <v>2436142</v>
      </c>
      <c r="V3" s="6" t="n">
        <v>2.54</v>
      </c>
      <c r="W3" s="6" t="n">
        <v>0</v>
      </c>
      <c r="X3" s="6" t="n">
        <v>27.04</v>
      </c>
    </row>
    <row r="4" customFormat="false" ht="15" hidden="false" customHeight="false" outlineLevel="0" collapsed="false">
      <c r="A4" s="3" t="s">
        <v>27</v>
      </c>
      <c r="B4" s="4" t="s">
        <v>25</v>
      </c>
      <c r="C4" s="4" t="n">
        <f aca="false">'A5 Pop Education'!C6</f>
        <v>2.6</v>
      </c>
      <c r="D4" s="4" t="n">
        <f aca="false">'A5 Pop Education'!D6</f>
        <v>18.2</v>
      </c>
      <c r="E4" s="4" t="n">
        <f aca="false">'A5 Pop Education'!F6</f>
        <v>19.6</v>
      </c>
      <c r="F4" s="4" t="n">
        <f aca="false">'A6 Head Education'!C6</f>
        <v>2.4</v>
      </c>
      <c r="G4" s="4" t="n">
        <f aca="false">'A6 Head Education'!D6</f>
        <v>13.7</v>
      </c>
      <c r="H4" s="4" t="n">
        <f aca="false">SUM('A6 Head Education'!F6:H6)</f>
        <v>36.6</v>
      </c>
      <c r="I4" s="4" t="n">
        <f aca="false">'A12 Attendance 5-19'!C6</f>
        <v>86.2</v>
      </c>
      <c r="J4" s="4" t="n">
        <f aca="false">'A12 Attendance 5-19'!E6</f>
        <v>10.9</v>
      </c>
      <c r="K4" s="4" t="n">
        <f aca="false">'A13 Attendance 5-14'!D6</f>
        <v>4.5</v>
      </c>
      <c r="L4" s="4" t="n">
        <f aca="false">'A14 Distance'!F6+'A14 Distance'!G6</f>
        <v>34.3</v>
      </c>
      <c r="M4" s="4" t="n">
        <f aca="false">'A15 Travel Mode'!C6</f>
        <v>23.5</v>
      </c>
      <c r="N4" s="5" t="n">
        <f aca="false">'School Census 2025'!F6</f>
        <v>201108</v>
      </c>
      <c r="O4" s="4" t="n">
        <f aca="false">'School Census 2025'!I6</f>
        <v>24.5659048869264</v>
      </c>
      <c r="P4" s="4" t="n">
        <f aca="false">'School Census 2025'!M6</f>
        <v>17.2550836550837</v>
      </c>
      <c r="Q4" s="4" t="n">
        <f aca="false">'School Census 2025'!N6</f>
        <v>485.768115942029</v>
      </c>
      <c r="R4" s="6" t="n">
        <v>11</v>
      </c>
      <c r="S4" s="7" t="n">
        <v>12.4</v>
      </c>
      <c r="T4" s="4" t="n">
        <f aca="false">326068/U4*1000</f>
        <v>249.710518738168</v>
      </c>
      <c r="U4" s="7" t="n">
        <v>1305784</v>
      </c>
      <c r="V4" s="6" t="n">
        <v>2.57</v>
      </c>
      <c r="W4" s="6" t="n">
        <v>0</v>
      </c>
      <c r="X4" s="6" t="n">
        <v>28</v>
      </c>
    </row>
    <row r="5" customFormat="false" ht="15" hidden="false" customHeight="false" outlineLevel="0" collapsed="false">
      <c r="A5" s="3" t="s">
        <v>28</v>
      </c>
      <c r="B5" s="4" t="s">
        <v>29</v>
      </c>
      <c r="C5" s="4" t="n">
        <f aca="false">'A5 Pop Education'!C7</f>
        <v>3.6</v>
      </c>
      <c r="D5" s="4" t="n">
        <f aca="false">'A5 Pop Education'!D7</f>
        <v>20.9</v>
      </c>
      <c r="E5" s="4" t="n">
        <f aca="false">'A5 Pop Education'!F7</f>
        <v>15.2</v>
      </c>
      <c r="F5" s="4" t="n">
        <f aca="false">'A6 Head Education'!C7</f>
        <v>4.2</v>
      </c>
      <c r="G5" s="4" t="n">
        <f aca="false">'A6 Head Education'!D7</f>
        <v>20.1</v>
      </c>
      <c r="H5" s="4" t="n">
        <f aca="false">SUM('A6 Head Education'!F7:H7)</f>
        <v>29</v>
      </c>
      <c r="I5" s="4" t="n">
        <f aca="false">'A12 Attendance 5-19'!C7</f>
        <v>87.4</v>
      </c>
      <c r="J5" s="4" t="n">
        <f aca="false">'A12 Attendance 5-19'!E7</f>
        <v>9.1</v>
      </c>
      <c r="K5" s="4" t="n">
        <f aca="false">'A13 Attendance 5-14'!D7</f>
        <v>5.1</v>
      </c>
      <c r="L5" s="4" t="n">
        <f aca="false">'A14 Distance'!F7+'A14 Distance'!G7</f>
        <v>28.5</v>
      </c>
      <c r="M5" s="4" t="n">
        <f aca="false">'A15 Travel Mode'!C7</f>
        <v>36.4</v>
      </c>
      <c r="N5" s="5" t="n">
        <f aca="false">'School Census 2025'!F7</f>
        <v>252916</v>
      </c>
      <c r="O5" s="4" t="n">
        <f aca="false">'School Census 2025'!I7</f>
        <v>22.9558430467033</v>
      </c>
      <c r="P5" s="4" t="n">
        <f aca="false">'School Census 2025'!M7</f>
        <v>15.1365132563289</v>
      </c>
      <c r="Q5" s="4" t="n">
        <f aca="false">'School Census 2025'!N7</f>
        <v>390.9057187017</v>
      </c>
      <c r="R5" s="6" t="n">
        <v>22</v>
      </c>
      <c r="S5" s="7" t="n">
        <v>8.7</v>
      </c>
      <c r="T5" s="4" t="n">
        <f aca="false">267149/U5*1000</f>
        <v>182.741578567544</v>
      </c>
      <c r="U5" s="7" t="n">
        <v>1461895</v>
      </c>
      <c r="V5" s="6" t="n">
        <v>1.63</v>
      </c>
      <c r="W5" s="6" t="n">
        <v>30</v>
      </c>
      <c r="X5" s="6" t="n">
        <v>23.74</v>
      </c>
    </row>
    <row r="6" customFormat="false" ht="15" hidden="false" customHeight="false" outlineLevel="0" collapsed="false">
      <c r="A6" s="3" t="s">
        <v>30</v>
      </c>
      <c r="B6" s="4" t="s">
        <v>29</v>
      </c>
      <c r="C6" s="4" t="n">
        <f aca="false">'A5 Pop Education'!C8</f>
        <v>4.2</v>
      </c>
      <c r="D6" s="4" t="n">
        <f aca="false">'A5 Pop Education'!D8</f>
        <v>22</v>
      </c>
      <c r="E6" s="4" t="n">
        <f aca="false">'A5 Pop Education'!F8</f>
        <v>15.9</v>
      </c>
      <c r="F6" s="4" t="n">
        <f aca="false">'A6 Head Education'!C8</f>
        <v>4.9</v>
      </c>
      <c r="G6" s="4" t="n">
        <f aca="false">'A6 Head Education'!D8</f>
        <v>21.1</v>
      </c>
      <c r="H6" s="4" t="n">
        <f aca="false">SUM('A6 Head Education'!F8:H8)</f>
        <v>23.6</v>
      </c>
      <c r="I6" s="4" t="n">
        <f aca="false">'A12 Attendance 5-19'!C8</f>
        <v>86.9</v>
      </c>
      <c r="J6" s="4" t="n">
        <f aca="false">'A12 Attendance 5-19'!E8</f>
        <v>10.6</v>
      </c>
      <c r="K6" s="4" t="n">
        <f aca="false">'A13 Attendance 5-14'!D8</f>
        <v>5</v>
      </c>
      <c r="L6" s="4" t="n">
        <f aca="false">'A14 Distance'!F8+'A14 Distance'!G8</f>
        <v>27.9</v>
      </c>
      <c r="M6" s="4" t="n">
        <f aca="false">'A15 Travel Mode'!C8</f>
        <v>33.6</v>
      </c>
      <c r="N6" s="5" t="n">
        <f aca="false">'School Census 2025'!F8</f>
        <v>96813</v>
      </c>
      <c r="O6" s="4" t="n">
        <f aca="false">'School Census 2025'!I8</f>
        <v>23.3119519072852</v>
      </c>
      <c r="P6" s="4" t="n">
        <f aca="false">'School Census 2025'!M8</f>
        <v>14.9471977767485</v>
      </c>
      <c r="Q6" s="4" t="n">
        <f aca="false">'School Census 2025'!N8</f>
        <v>312.3</v>
      </c>
      <c r="R6" s="6" t="n">
        <v>20</v>
      </c>
      <c r="S6" s="7" t="n">
        <v>21.2</v>
      </c>
      <c r="T6" s="4" t="n">
        <f aca="false">93740/U6*1000</f>
        <v>177.918651659802</v>
      </c>
      <c r="U6" s="7" t="n">
        <v>526870</v>
      </c>
      <c r="V6" s="6" t="n">
        <v>1.91</v>
      </c>
      <c r="W6" s="6" t="n">
        <v>569</v>
      </c>
      <c r="X6" s="6" t="n">
        <v>27.19</v>
      </c>
    </row>
    <row r="7" customFormat="false" ht="15" hidden="false" customHeight="false" outlineLevel="0" collapsed="false">
      <c r="A7" s="3" t="s">
        <v>31</v>
      </c>
      <c r="B7" s="4" t="s">
        <v>29</v>
      </c>
      <c r="C7" s="4" t="n">
        <f aca="false">'A5 Pop Education'!C9</f>
        <v>4.7</v>
      </c>
      <c r="D7" s="4" t="n">
        <f aca="false">'A5 Pop Education'!D9</f>
        <v>27.5</v>
      </c>
      <c r="E7" s="4" t="n">
        <f aca="false">'A5 Pop Education'!F9</f>
        <v>12.8</v>
      </c>
      <c r="F7" s="4" t="n">
        <f aca="false">'A6 Head Education'!C9</f>
        <v>4.8</v>
      </c>
      <c r="G7" s="4" t="n">
        <f aca="false">'A6 Head Education'!D9</f>
        <v>31.2</v>
      </c>
      <c r="H7" s="4" t="n">
        <f aca="false">SUM('A6 Head Education'!F9:H9)</f>
        <v>19.3</v>
      </c>
      <c r="I7" s="4" t="n">
        <f aca="false">'A12 Attendance 5-19'!C9</f>
        <v>86.2</v>
      </c>
      <c r="J7" s="4" t="n">
        <f aca="false">'A12 Attendance 5-19'!E9</f>
        <v>10.4</v>
      </c>
      <c r="K7" s="4" t="n">
        <f aca="false">'A13 Attendance 5-14'!D9</f>
        <v>4.9</v>
      </c>
      <c r="L7" s="4" t="n">
        <f aca="false">'A14 Distance'!F9+'A14 Distance'!G9</f>
        <v>32.7</v>
      </c>
      <c r="M7" s="4" t="n">
        <f aca="false">'A15 Travel Mode'!C9</f>
        <v>54.9</v>
      </c>
      <c r="N7" s="5" t="n">
        <f aca="false">'School Census 2025'!F9</f>
        <v>143271</v>
      </c>
      <c r="O7" s="4" t="n">
        <f aca="false">'School Census 2025'!I9</f>
        <v>6.30902276106121</v>
      </c>
      <c r="P7" s="4" t="n">
        <f aca="false">'School Census 2025'!M9</f>
        <v>14.5099250557018</v>
      </c>
      <c r="Q7" s="4" t="n">
        <f aca="false">'School Census 2025'!N9</f>
        <v>260.492727272727</v>
      </c>
      <c r="R7" s="6" t="n">
        <v>44.2</v>
      </c>
      <c r="S7" s="7" t="n">
        <v>27.5</v>
      </c>
      <c r="T7" s="4" t="n">
        <f aca="false">82513/U7*1000</f>
        <v>113.767096845356</v>
      </c>
      <c r="U7" s="7" t="n">
        <v>725280</v>
      </c>
      <c r="V7" s="6" t="n">
        <v>2.05</v>
      </c>
      <c r="W7" s="6" t="n">
        <v>222</v>
      </c>
      <c r="X7" s="6" t="n">
        <v>29.92</v>
      </c>
    </row>
    <row r="8" customFormat="false" ht="15" hidden="false" customHeight="false" outlineLevel="0" collapsed="false">
      <c r="A8" s="3" t="s">
        <v>32</v>
      </c>
      <c r="B8" s="4" t="s">
        <v>33</v>
      </c>
      <c r="C8" s="4" t="n">
        <f aca="false">'A5 Pop Education'!C10</f>
        <v>2.2</v>
      </c>
      <c r="D8" s="4" t="n">
        <f aca="false">'A5 Pop Education'!D10</f>
        <v>20.6</v>
      </c>
      <c r="E8" s="4" t="n">
        <f aca="false">'A5 Pop Education'!F10</f>
        <v>18.1</v>
      </c>
      <c r="F8" s="4" t="n">
        <f aca="false">'A6 Head Education'!C10</f>
        <v>2.8</v>
      </c>
      <c r="G8" s="4" t="n">
        <f aca="false">'A6 Head Education'!D10</f>
        <v>19.1</v>
      </c>
      <c r="H8" s="4" t="n">
        <f aca="false">SUM('A6 Head Education'!F10:H10)</f>
        <v>27</v>
      </c>
      <c r="I8" s="4" t="n">
        <f aca="false">'A12 Attendance 5-19'!C10</f>
        <v>88.9</v>
      </c>
      <c r="J8" s="4" t="n">
        <f aca="false">'A12 Attendance 5-19'!E10</f>
        <v>8.6</v>
      </c>
      <c r="K8" s="4" t="n">
        <f aca="false">'A13 Attendance 5-14'!D10</f>
        <v>3.2</v>
      </c>
      <c r="L8" s="4" t="n">
        <f aca="false">'A14 Distance'!F10+'A14 Distance'!G10</f>
        <v>29.9</v>
      </c>
      <c r="M8" s="4" t="n">
        <f aca="false">'A15 Travel Mode'!C10</f>
        <v>23.3</v>
      </c>
      <c r="N8" s="5" t="n">
        <f aca="false">'School Census 2025'!F10</f>
        <v>198627</v>
      </c>
      <c r="O8" s="4" t="n">
        <f aca="false">'School Census 2025'!I10</f>
        <v>37.9631167968101</v>
      </c>
      <c r="P8" s="4" t="n">
        <f aca="false">'School Census 2025'!M10</f>
        <v>16.5082280585106</v>
      </c>
      <c r="Q8" s="4" t="n">
        <f aca="false">'School Census 2025'!N10</f>
        <v>470.68009478673</v>
      </c>
      <c r="R8" s="6" t="n">
        <v>10</v>
      </c>
      <c r="S8" s="7" t="n">
        <v>16.1</v>
      </c>
      <c r="T8" s="4" t="n">
        <f aca="false">82596/U8*1000</f>
        <v>75.2670926540863</v>
      </c>
      <c r="U8" s="7" t="n">
        <v>1097372</v>
      </c>
      <c r="V8" s="6" t="n">
        <v>2.37</v>
      </c>
      <c r="W8" s="6" t="n">
        <v>658</v>
      </c>
      <c r="X8" s="6" t="n">
        <v>25.6</v>
      </c>
    </row>
    <row r="9" customFormat="false" ht="15" hidden="false" customHeight="false" outlineLevel="0" collapsed="false">
      <c r="A9" s="3" t="s">
        <v>34</v>
      </c>
      <c r="B9" s="4" t="s">
        <v>33</v>
      </c>
      <c r="C9" s="4" t="n">
        <f aca="false">'A5 Pop Education'!C11</f>
        <v>3.5</v>
      </c>
      <c r="D9" s="4" t="n">
        <f aca="false">'A5 Pop Education'!D11</f>
        <v>21.8</v>
      </c>
      <c r="E9" s="4" t="n">
        <f aca="false">'A5 Pop Education'!F11</f>
        <v>18.4</v>
      </c>
      <c r="F9" s="4" t="n">
        <f aca="false">'A6 Head Education'!C11</f>
        <v>4.1</v>
      </c>
      <c r="G9" s="4" t="n">
        <f aca="false">'A6 Head Education'!D11</f>
        <v>23.1</v>
      </c>
      <c r="H9" s="4" t="n">
        <f aca="false">SUM('A6 Head Education'!F11:H11)</f>
        <v>32.4</v>
      </c>
      <c r="I9" s="4" t="n">
        <f aca="false">'A12 Attendance 5-19'!C11</f>
        <v>88</v>
      </c>
      <c r="J9" s="4" t="n">
        <f aca="false">'A12 Attendance 5-19'!E11</f>
        <v>8.7</v>
      </c>
      <c r="K9" s="4" t="n">
        <f aca="false">'A13 Attendance 5-14'!D11</f>
        <v>4.6</v>
      </c>
      <c r="L9" s="4" t="n">
        <f aca="false">'A14 Distance'!F11+'A14 Distance'!G11</f>
        <v>32.1</v>
      </c>
      <c r="M9" s="4" t="n">
        <f aca="false">'A15 Travel Mode'!C11</f>
        <v>24</v>
      </c>
      <c r="N9" s="5" t="n">
        <f aca="false">'School Census 2025'!F11</f>
        <v>150260</v>
      </c>
      <c r="O9" s="4" t="n">
        <f aca="false">'School Census 2025'!I11</f>
        <v>33.2437109011048</v>
      </c>
      <c r="P9" s="4" t="n">
        <f aca="false">'School Census 2025'!M11</f>
        <v>14.598270669387</v>
      </c>
      <c r="Q9" s="4" t="n">
        <f aca="false">'School Census 2025'!N11</f>
        <v>425.665722379603</v>
      </c>
      <c r="R9" s="6" t="n">
        <v>17</v>
      </c>
      <c r="S9" s="7" t="n">
        <v>15.7</v>
      </c>
      <c r="T9" s="4" t="n">
        <f aca="false">29376/U9*1000</f>
        <v>35.0595365257212</v>
      </c>
      <c r="U9" s="7" t="n">
        <v>837889</v>
      </c>
      <c r="V9" s="6" t="n">
        <v>1.73</v>
      </c>
      <c r="W9" s="6" t="n">
        <v>0</v>
      </c>
      <c r="X9" s="6" t="n">
        <v>22.52</v>
      </c>
    </row>
    <row r="10" customFormat="false" ht="15" hidden="false" customHeight="false" outlineLevel="0" collapsed="false">
      <c r="A10" s="3" t="s">
        <v>35</v>
      </c>
      <c r="B10" s="4" t="s">
        <v>33</v>
      </c>
      <c r="C10" s="4" t="n">
        <f aca="false">'A5 Pop Education'!C12</f>
        <v>4</v>
      </c>
      <c r="D10" s="4" t="n">
        <f aca="false">'A5 Pop Education'!D12</f>
        <v>23.6</v>
      </c>
      <c r="E10" s="4" t="n">
        <f aca="false">'A5 Pop Education'!F12</f>
        <v>15.2</v>
      </c>
      <c r="F10" s="4" t="n">
        <f aca="false">'A6 Head Education'!C12</f>
        <v>5.6</v>
      </c>
      <c r="G10" s="4" t="n">
        <f aca="false">'A6 Head Education'!D12</f>
        <v>28.4</v>
      </c>
      <c r="H10" s="4" t="n">
        <f aca="false">SUM('A6 Head Education'!F12:H12)</f>
        <v>18.6</v>
      </c>
      <c r="I10" s="4" t="n">
        <f aca="false">'A12 Attendance 5-19'!C12</f>
        <v>85.4</v>
      </c>
      <c r="J10" s="4" t="n">
        <f aca="false">'A12 Attendance 5-19'!E12</f>
        <v>11.2</v>
      </c>
      <c r="K10" s="4" t="n">
        <f aca="false">'A13 Attendance 5-14'!D12</f>
        <v>4.9</v>
      </c>
      <c r="L10" s="4" t="n">
        <f aca="false">'A14 Distance'!F12+'A14 Distance'!G12</f>
        <v>23.5</v>
      </c>
      <c r="M10" s="4" t="n">
        <f aca="false">'A15 Travel Mode'!C12</f>
        <v>24.2</v>
      </c>
      <c r="N10" s="5" t="n">
        <f aca="false">'School Census 2025'!F12</f>
        <v>134500</v>
      </c>
      <c r="O10" s="4" t="n">
        <f aca="false">'School Census 2025'!I12</f>
        <v>25.0847583643123</v>
      </c>
      <c r="P10" s="4" t="n">
        <f aca="false">'School Census 2025'!M12</f>
        <v>16.0176253423842</v>
      </c>
      <c r="Q10" s="4" t="n">
        <f aca="false">'School Census 2025'!N12</f>
        <v>422.955974842767</v>
      </c>
      <c r="R10" s="6" t="n">
        <v>20</v>
      </c>
      <c r="S10" s="7" t="n">
        <v>11.9</v>
      </c>
      <c r="T10" s="4" t="n">
        <f aca="false">89447/U10*1000</f>
        <v>133.221033692871</v>
      </c>
      <c r="U10" s="7" t="n">
        <v>671418</v>
      </c>
      <c r="V10" s="6" t="n">
        <v>1.93</v>
      </c>
      <c r="W10" s="6" t="n">
        <v>0</v>
      </c>
      <c r="X10" s="6" t="n">
        <v>24.62</v>
      </c>
    </row>
    <row r="11" customFormat="false" ht="15" hidden="false" customHeight="false" outlineLevel="0" collapsed="false">
      <c r="A11" s="3" t="s">
        <v>36</v>
      </c>
      <c r="B11" s="4" t="s">
        <v>37</v>
      </c>
      <c r="C11" s="4" t="n">
        <f aca="false">'A5 Pop Education'!C13</f>
        <v>0.8</v>
      </c>
      <c r="D11" s="4" t="n">
        <f aca="false">'A5 Pop Education'!D13</f>
        <v>20.9</v>
      </c>
      <c r="E11" s="4" t="n">
        <f aca="false">'A5 Pop Education'!F13</f>
        <v>13.6</v>
      </c>
      <c r="F11" s="4" t="n">
        <f aca="false">'A6 Head Education'!C13</f>
        <v>0.5</v>
      </c>
      <c r="G11" s="4" t="n">
        <f aca="false">'A6 Head Education'!D13</f>
        <v>22.7</v>
      </c>
      <c r="H11" s="4" t="n">
        <f aca="false">SUM('A6 Head Education'!F13:H13)</f>
        <v>19.4</v>
      </c>
      <c r="I11" s="4" t="n">
        <f aca="false">'A12 Attendance 5-19'!C13</f>
        <v>86.7</v>
      </c>
      <c r="J11" s="4" t="n">
        <f aca="false">'A12 Attendance 5-19'!E13</f>
        <v>11.7</v>
      </c>
      <c r="K11" s="4" t="n">
        <f aca="false">'A13 Attendance 5-14'!D13</f>
        <v>2.5</v>
      </c>
      <c r="L11" s="4" t="n">
        <f aca="false">'A14 Distance'!F13+'A14 Distance'!G13</f>
        <v>14.9</v>
      </c>
      <c r="M11" s="4" t="n">
        <f aca="false">'A15 Travel Mode'!C13</f>
        <v>22.1</v>
      </c>
      <c r="N11" s="5" t="n">
        <f aca="false">'School Census 2025'!F13</f>
        <v>93167</v>
      </c>
      <c r="O11" s="4" t="n">
        <f aca="false">'School Census 2025'!I13</f>
        <v>14.6414502989256</v>
      </c>
      <c r="P11" s="4" t="n">
        <f aca="false">'School Census 2025'!M13</f>
        <v>10.7236418047882</v>
      </c>
      <c r="Q11" s="4" t="n">
        <f aca="false">'School Census 2025'!N13</f>
        <v>212.7100456621</v>
      </c>
      <c r="R11" s="6" t="n">
        <v>10</v>
      </c>
      <c r="S11" s="7" t="n">
        <v>15.4</v>
      </c>
      <c r="T11" s="4" t="n">
        <f aca="false">499677/U11*1000</f>
        <v>840.144867347848</v>
      </c>
      <c r="U11" s="7" t="n">
        <v>594751</v>
      </c>
      <c r="V11" s="6" t="n">
        <v>4.16</v>
      </c>
      <c r="W11" s="6" t="n">
        <v>252</v>
      </c>
      <c r="X11" s="6" t="n">
        <v>29.07</v>
      </c>
    </row>
    <row r="12" customFormat="false" ht="15" hidden="false" customHeight="false" outlineLevel="0" collapsed="false">
      <c r="A12" s="3" t="s">
        <v>38</v>
      </c>
      <c r="B12" s="4" t="s">
        <v>37</v>
      </c>
      <c r="C12" s="4" t="n">
        <f aca="false">'A5 Pop Education'!C14</f>
        <v>2.3</v>
      </c>
      <c r="D12" s="4" t="n">
        <f aca="false">'A5 Pop Education'!D14</f>
        <v>24.4</v>
      </c>
      <c r="E12" s="4" t="n">
        <f aca="false">'A5 Pop Education'!F14</f>
        <v>21.9</v>
      </c>
      <c r="F12" s="4" t="n">
        <f aca="false">'A6 Head Education'!C14</f>
        <v>2.9</v>
      </c>
      <c r="G12" s="4" t="n">
        <f aca="false">'A6 Head Education'!D14</f>
        <v>26</v>
      </c>
      <c r="H12" s="4" t="n">
        <f aca="false">SUM('A6 Head Education'!F14:H14)</f>
        <v>23.6</v>
      </c>
      <c r="I12" s="4" t="n">
        <f aca="false">'A12 Attendance 5-19'!C14</f>
        <v>83.6</v>
      </c>
      <c r="J12" s="4" t="n">
        <f aca="false">'A12 Attendance 5-19'!E14</f>
        <v>13.6</v>
      </c>
      <c r="K12" s="4" t="n">
        <f aca="false">'A13 Attendance 5-14'!D14</f>
        <v>4.1</v>
      </c>
      <c r="L12" s="4" t="n">
        <f aca="false">'A14 Distance'!F14+'A14 Distance'!G14</f>
        <v>11.9</v>
      </c>
      <c r="M12" s="4" t="n">
        <f aca="false">'A15 Travel Mode'!C14</f>
        <v>43.5</v>
      </c>
      <c r="N12" s="5" t="n">
        <f aca="false">'School Census 2025'!F14</f>
        <v>24958</v>
      </c>
      <c r="O12" s="4" t="n">
        <f aca="false">'School Census 2025'!I14</f>
        <v>21.0072922509817</v>
      </c>
      <c r="P12" s="4" t="n">
        <f aca="false">'School Census 2025'!M14</f>
        <v>10.6521553563807</v>
      </c>
      <c r="Q12" s="4" t="n">
        <f aca="false">'School Census 2025'!N14</f>
        <v>189.075757575758</v>
      </c>
      <c r="R12" s="6" t="n">
        <v>27</v>
      </c>
      <c r="S12" s="7" t="n">
        <v>28.9</v>
      </c>
      <c r="T12" s="4" t="n">
        <f aca="false">346424/U12*1000</f>
        <v>2799.25013736708</v>
      </c>
      <c r="U12" s="7" t="n">
        <v>123756</v>
      </c>
      <c r="V12" s="6" t="n">
        <v>1.35</v>
      </c>
      <c r="W12" s="6" t="n">
        <v>0</v>
      </c>
      <c r="X12" s="6" t="n">
        <v>28.61</v>
      </c>
    </row>
    <row r="13" customFormat="false" ht="15" hidden="false" customHeight="false" outlineLevel="0" collapsed="false">
      <c r="A13" s="3" t="s">
        <v>39</v>
      </c>
      <c r="B13" s="4" t="s">
        <v>37</v>
      </c>
      <c r="C13" s="4" t="n">
        <f aca="false">'A5 Pop Education'!C15</f>
        <v>3</v>
      </c>
      <c r="D13" s="4" t="n">
        <f aca="false">'A5 Pop Education'!D15</f>
        <v>24.1</v>
      </c>
      <c r="E13" s="4" t="n">
        <f aca="false">'A5 Pop Education'!F15</f>
        <v>5.7</v>
      </c>
      <c r="F13" s="4" t="n">
        <f aca="false">'A6 Head Education'!C15</f>
        <v>2.9</v>
      </c>
      <c r="G13" s="4" t="n">
        <f aca="false">'A6 Head Education'!D15</f>
        <v>22.1</v>
      </c>
      <c r="H13" s="4" t="n">
        <f aca="false">SUM('A6 Head Education'!F15:H15)</f>
        <v>12.6</v>
      </c>
      <c r="I13" s="4" t="n">
        <f aca="false">'A12 Attendance 5-19'!C15</f>
        <v>83.4</v>
      </c>
      <c r="J13" s="4" t="n">
        <f aca="false">'A12 Attendance 5-19'!E15</f>
        <v>14.4</v>
      </c>
      <c r="K13" s="4" t="n">
        <f aca="false">'A13 Attendance 5-14'!D15</f>
        <v>3.4</v>
      </c>
      <c r="L13" s="4" t="n">
        <f aca="false">'A14 Distance'!F15+'A14 Distance'!G15</f>
        <v>10.2</v>
      </c>
      <c r="M13" s="4" t="n">
        <f aca="false">'A15 Travel Mode'!C15</f>
        <v>28.4</v>
      </c>
      <c r="N13" s="5" t="n">
        <f aca="false">'School Census 2025'!F15</f>
        <v>33461</v>
      </c>
      <c r="O13" s="4" t="n">
        <f aca="false">'School Census 2025'!I15</f>
        <v>19.9157227817459</v>
      </c>
      <c r="P13" s="4" t="n">
        <f aca="false">'School Census 2025'!M15</f>
        <v>11.8446017699115</v>
      </c>
      <c r="Q13" s="4" t="n">
        <f aca="false">'School Census 2025'!N15</f>
        <v>201.572289156627</v>
      </c>
      <c r="R13" s="6" t="n">
        <v>26</v>
      </c>
      <c r="S13" s="7" t="n">
        <v>27.2</v>
      </c>
      <c r="T13" s="4" t="n">
        <f aca="false">36199/U13*1000</f>
        <v>210.078230187102</v>
      </c>
      <c r="U13" s="7" t="n">
        <v>172312</v>
      </c>
      <c r="V13" s="6" t="n">
        <v>3.92</v>
      </c>
      <c r="W13" s="6" t="n">
        <v>76</v>
      </c>
      <c r="X13" s="6" t="n">
        <v>33.32</v>
      </c>
    </row>
    <row r="14" customFormat="false" ht="15" hidden="false" customHeight="false" outlineLevel="0" collapsed="false">
      <c r="A14" s="3" t="s">
        <v>40</v>
      </c>
      <c r="B14" s="4" t="s">
        <v>37</v>
      </c>
      <c r="C14" s="4" t="n">
        <f aca="false">'A5 Pop Education'!C16</f>
        <v>2.6</v>
      </c>
      <c r="D14" s="4" t="n">
        <f aca="false">'A5 Pop Education'!D16</f>
        <v>23.7</v>
      </c>
      <c r="E14" s="4" t="n">
        <f aca="false">'A5 Pop Education'!F16</f>
        <v>14.2</v>
      </c>
      <c r="F14" s="4" t="n">
        <f aca="false">'A6 Head Education'!C16</f>
        <v>3.3</v>
      </c>
      <c r="G14" s="4" t="n">
        <f aca="false">'A6 Head Education'!D16</f>
        <v>27</v>
      </c>
      <c r="H14" s="4" t="n">
        <f aca="false">SUM('A6 Head Education'!F16:H16)</f>
        <v>10.2</v>
      </c>
      <c r="I14" s="4" t="n">
        <f aca="false">'A12 Attendance 5-19'!C16</f>
        <v>86.9</v>
      </c>
      <c r="J14" s="4" t="n">
        <f aca="false">'A12 Attendance 5-19'!E16</f>
        <v>10.9</v>
      </c>
      <c r="K14" s="4" t="n">
        <f aca="false">'A13 Attendance 5-14'!D16</f>
        <v>3.6</v>
      </c>
      <c r="L14" s="4" t="n">
        <f aca="false">'A14 Distance'!F16+'A14 Distance'!G16</f>
        <v>6.6</v>
      </c>
      <c r="M14" s="4" t="n">
        <f aca="false">'A15 Travel Mode'!C16</f>
        <v>24.2</v>
      </c>
      <c r="N14" s="5" t="n">
        <f aca="false">'School Census 2025'!F16</f>
        <v>23965</v>
      </c>
      <c r="O14" s="4" t="n">
        <f aca="false">'School Census 2025'!I16</f>
        <v>9.52221990402671</v>
      </c>
      <c r="P14" s="4" t="n">
        <f aca="false">'School Census 2025'!M16</f>
        <v>11.3470643939394</v>
      </c>
      <c r="Q14" s="4" t="n">
        <f aca="false">'School Census 2025'!N16</f>
        <v>193.266129032258</v>
      </c>
      <c r="R14" s="6" t="n">
        <v>14</v>
      </c>
      <c r="S14" s="7" t="n">
        <v>29.3</v>
      </c>
      <c r="T14" s="4" t="n">
        <f aca="false">113470/U14*1000</f>
        <v>925.386767140492</v>
      </c>
      <c r="U14" s="7" t="n">
        <v>122619</v>
      </c>
      <c r="V14" s="6" t="n">
        <v>4.35</v>
      </c>
      <c r="W14" s="6" t="n">
        <v>91</v>
      </c>
      <c r="X14" s="6" t="n">
        <v>32.46</v>
      </c>
    </row>
    <row r="15" customFormat="false" ht="15" hidden="false" customHeight="false" outlineLevel="0" collapsed="false">
      <c r="A15" s="3" t="s">
        <v>41</v>
      </c>
      <c r="B15" s="4" t="s">
        <v>37</v>
      </c>
      <c r="C15" s="4" t="n">
        <f aca="false">'A5 Pop Education'!C17</f>
        <v>2.2</v>
      </c>
      <c r="D15" s="4" t="n">
        <f aca="false">'A5 Pop Education'!D17</f>
        <v>24</v>
      </c>
      <c r="E15" s="4" t="n">
        <f aca="false">'A5 Pop Education'!F17</f>
        <v>8.4</v>
      </c>
      <c r="F15" s="4" t="n">
        <f aca="false">'A6 Head Education'!C17</f>
        <v>1.6</v>
      </c>
      <c r="G15" s="4" t="n">
        <f aca="false">'A6 Head Education'!D17</f>
        <v>22.3</v>
      </c>
      <c r="H15" s="4" t="n">
        <f aca="false">SUM('A6 Head Education'!F17:H17)</f>
        <v>11.1</v>
      </c>
      <c r="I15" s="4" t="n">
        <f aca="false">'A12 Attendance 5-19'!C17</f>
        <v>86</v>
      </c>
      <c r="J15" s="4" t="n">
        <f aca="false">'A12 Attendance 5-19'!E17</f>
        <v>11.1</v>
      </c>
      <c r="K15" s="4" t="n">
        <f aca="false">'A13 Attendance 5-14'!D17</f>
        <v>3.3</v>
      </c>
      <c r="L15" s="4" t="n">
        <f aca="false">'A14 Distance'!F17+'A14 Distance'!G17</f>
        <v>11</v>
      </c>
      <c r="M15" s="4" t="n">
        <f aca="false">'A15 Travel Mode'!C17</f>
        <v>25.2</v>
      </c>
      <c r="N15" s="5" t="n">
        <f aca="false">'School Census 2025'!F17</f>
        <v>25934</v>
      </c>
      <c r="O15" s="4" t="n">
        <f aca="false">'School Census 2025'!I17</f>
        <v>10.9547312408421</v>
      </c>
      <c r="P15" s="4" t="n">
        <f aca="false">'School Census 2025'!M17</f>
        <v>12.118691588785</v>
      </c>
      <c r="Q15" s="4" t="n">
        <f aca="false">'School Census 2025'!N17</f>
        <v>249.365384615385</v>
      </c>
      <c r="R15" s="6" t="n">
        <v>15</v>
      </c>
      <c r="S15" s="7" t="n">
        <v>29</v>
      </c>
      <c r="T15" s="4" t="n">
        <f aca="false">80422/U15*1000</f>
        <v>588.267134810914</v>
      </c>
      <c r="U15" s="7" t="n">
        <v>136710</v>
      </c>
      <c r="V15" s="6" t="n">
        <v>3.37</v>
      </c>
      <c r="W15" s="6" t="n">
        <v>260</v>
      </c>
      <c r="X15" s="6" t="n">
        <v>29.29</v>
      </c>
    </row>
    <row r="16" customFormat="false" ht="15" hidden="false" customHeight="false" outlineLevel="0" collapsed="false">
      <c r="A16" s="3" t="s">
        <v>42</v>
      </c>
      <c r="B16" s="4" t="s">
        <v>43</v>
      </c>
      <c r="C16" s="4" t="n">
        <f aca="false">'A5 Pop Education'!C18</f>
        <v>5</v>
      </c>
      <c r="D16" s="4" t="n">
        <f aca="false">'A5 Pop Education'!D18</f>
        <v>30.3</v>
      </c>
      <c r="E16" s="4" t="n">
        <f aca="false">'A5 Pop Education'!F18</f>
        <v>12.7</v>
      </c>
      <c r="F16" s="4" t="n">
        <f aca="false">'A6 Head Education'!C18</f>
        <v>7.3</v>
      </c>
      <c r="G16" s="4" t="n">
        <f aca="false">'A6 Head Education'!D18</f>
        <v>33.1</v>
      </c>
      <c r="H16" s="4" t="n">
        <f aca="false">SUM('A6 Head Education'!F18:H18)</f>
        <v>18.6</v>
      </c>
      <c r="I16" s="4" t="n">
        <f aca="false">'A12 Attendance 5-19'!C18</f>
        <v>83.9</v>
      </c>
      <c r="J16" s="4" t="n">
        <f aca="false">'A12 Attendance 5-19'!E18</f>
        <v>14</v>
      </c>
      <c r="K16" s="4" t="n">
        <f aca="false">'A13 Attendance 5-14'!D18</f>
        <v>2.9</v>
      </c>
      <c r="L16" s="4" t="n">
        <f aca="false">'A14 Distance'!F18+'A14 Distance'!G18</f>
        <v>6.8</v>
      </c>
      <c r="M16" s="4" t="n">
        <f aca="false">'A15 Travel Mode'!C18</f>
        <v>59.2</v>
      </c>
      <c r="N16" s="5" t="n">
        <f aca="false">'School Census 2025'!F18</f>
        <v>117172</v>
      </c>
      <c r="O16" s="4" t="n">
        <f aca="false">'School Census 2025'!I18</f>
        <v>17.35056156761</v>
      </c>
      <c r="P16" s="4" t="n">
        <f aca="false">'School Census 2025'!M18</f>
        <v>15.9918111095947</v>
      </c>
      <c r="Q16" s="4" t="n">
        <f aca="false">'School Census 2025'!N18</f>
        <v>318.402173913044</v>
      </c>
      <c r="R16" s="6" t="n">
        <v>20</v>
      </c>
      <c r="S16" s="7" t="n">
        <v>22.7</v>
      </c>
      <c r="T16" s="4" t="n">
        <f aca="false">279842/U16*1000</f>
        <v>469.59816619065</v>
      </c>
      <c r="U16" s="7" t="n">
        <v>595918</v>
      </c>
      <c r="V16" s="6" t="n">
        <v>1.43</v>
      </c>
      <c r="W16" s="6" t="n">
        <v>270</v>
      </c>
      <c r="X16" s="6" t="n">
        <v>23.96</v>
      </c>
    </row>
    <row r="17" customFormat="false" ht="15" hidden="false" customHeight="false" outlineLevel="0" collapsed="false">
      <c r="A17" s="3" t="s">
        <v>44</v>
      </c>
      <c r="B17" s="4" t="s">
        <v>43</v>
      </c>
      <c r="C17" s="4" t="n">
        <f aca="false">'A5 Pop Education'!C19</f>
        <v>3.1</v>
      </c>
      <c r="D17" s="4" t="n">
        <f aca="false">'A5 Pop Education'!D19</f>
        <v>25.9</v>
      </c>
      <c r="E17" s="4" t="n">
        <f aca="false">'A5 Pop Education'!F19</f>
        <v>18.2</v>
      </c>
      <c r="F17" s="4" t="n">
        <f aca="false">'A6 Head Education'!C19</f>
        <v>3.5</v>
      </c>
      <c r="G17" s="4" t="n">
        <f aca="false">'A6 Head Education'!D19</f>
        <v>26.3</v>
      </c>
      <c r="H17" s="4" t="n">
        <f aca="false">SUM('A6 Head Education'!F19:H19)</f>
        <v>27.7</v>
      </c>
      <c r="I17" s="4" t="n">
        <f aca="false">'A12 Attendance 5-19'!C19</f>
        <v>87.8</v>
      </c>
      <c r="J17" s="4" t="n">
        <f aca="false">'A12 Attendance 5-19'!E19</f>
        <v>9.9</v>
      </c>
      <c r="K17" s="4" t="n">
        <f aca="false">'A13 Attendance 5-14'!D19</f>
        <v>2.8</v>
      </c>
      <c r="L17" s="4" t="n">
        <f aca="false">'A14 Distance'!F19+'A14 Distance'!G19</f>
        <v>10.4</v>
      </c>
      <c r="M17" s="4" t="n">
        <f aca="false">'A15 Travel Mode'!C19</f>
        <v>42.7</v>
      </c>
      <c r="N17" s="5" t="n">
        <f aca="false">'School Census 2025'!F19</f>
        <v>157205</v>
      </c>
      <c r="O17" s="4" t="n">
        <f aca="false">'School Census 2025'!I19</f>
        <v>18.7188702649407</v>
      </c>
      <c r="P17" s="4" t="n">
        <f aca="false">'School Census 2025'!M19</f>
        <v>15.3400663544106</v>
      </c>
      <c r="Q17" s="4" t="n">
        <f aca="false">'School Census 2025'!N19</f>
        <v>354.065315315315</v>
      </c>
      <c r="R17" s="6" t="n">
        <v>14</v>
      </c>
      <c r="S17" s="7" t="n">
        <v>18.4</v>
      </c>
      <c r="T17" s="4" t="n">
        <f aca="false">470683/U17*1000</f>
        <v>632.17026100294</v>
      </c>
      <c r="U17" s="7" t="n">
        <v>744551</v>
      </c>
      <c r="V17" s="6" t="n">
        <v>1.21</v>
      </c>
      <c r="W17" s="6" t="n">
        <v>247</v>
      </c>
      <c r="X17" s="6" t="n">
        <v>22.23</v>
      </c>
    </row>
    <row r="18" customFormat="false" ht="15" hidden="false" customHeight="false" outlineLevel="0" collapsed="false">
      <c r="A18" s="3" t="s">
        <v>45</v>
      </c>
      <c r="B18" s="4" t="s">
        <v>43</v>
      </c>
      <c r="C18" s="4" t="n">
        <f aca="false">'A5 Pop Education'!C20</f>
        <v>3.7</v>
      </c>
      <c r="D18" s="4" t="n">
        <f aca="false">'A5 Pop Education'!D20</f>
        <v>27.7</v>
      </c>
      <c r="E18" s="4" t="n">
        <f aca="false">'A5 Pop Education'!F20</f>
        <v>15.3</v>
      </c>
      <c r="F18" s="4" t="n">
        <f aca="false">'A6 Head Education'!C20</f>
        <v>4.1</v>
      </c>
      <c r="G18" s="4" t="n">
        <f aca="false">'A6 Head Education'!D20</f>
        <v>28.2</v>
      </c>
      <c r="H18" s="4" t="n">
        <f aca="false">SUM('A6 Head Education'!F20:H20)</f>
        <v>20</v>
      </c>
      <c r="I18" s="4" t="n">
        <f aca="false">'A12 Attendance 5-19'!C20</f>
        <v>87</v>
      </c>
      <c r="J18" s="4" t="n">
        <f aca="false">'A12 Attendance 5-19'!E20</f>
        <v>10</v>
      </c>
      <c r="K18" s="4" t="n">
        <f aca="false">'A13 Attendance 5-14'!D20</f>
        <v>4.4</v>
      </c>
      <c r="L18" s="4" t="n">
        <f aca="false">'A14 Distance'!F20+'A14 Distance'!G20</f>
        <v>12.4</v>
      </c>
      <c r="M18" s="4" t="n">
        <f aca="false">'A15 Travel Mode'!C20</f>
        <v>47.5</v>
      </c>
      <c r="N18" s="5" t="n">
        <f aca="false">'School Census 2025'!F20</f>
        <v>93481</v>
      </c>
      <c r="O18" s="4" t="n">
        <f aca="false">'School Census 2025'!I20</f>
        <v>19.666028390796</v>
      </c>
      <c r="P18" s="4" t="n">
        <f aca="false">'School Census 2025'!M20</f>
        <v>16.6099857853589</v>
      </c>
      <c r="Q18" s="4" t="n">
        <f aca="false">'School Census 2025'!N20</f>
        <v>294.892744479495</v>
      </c>
      <c r="R18" s="6" t="n">
        <v>15</v>
      </c>
      <c r="S18" s="7" t="n">
        <v>20.3</v>
      </c>
      <c r="T18" s="4" t="n">
        <f aca="false">211677/U18*1000</f>
        <v>478.101390190742</v>
      </c>
      <c r="U18" s="7" t="n">
        <v>442745</v>
      </c>
      <c r="V18" s="6" t="n">
        <v>3.35</v>
      </c>
      <c r="W18" s="6" t="n">
        <v>0</v>
      </c>
      <c r="X18" s="6" t="n">
        <v>34.16</v>
      </c>
    </row>
    <row r="19" customFormat="false" ht="15" hidden="false" customHeight="false" outlineLevel="0" collapsed="false">
      <c r="A19" s="3" t="s">
        <v>46</v>
      </c>
      <c r="B19" s="4" t="s">
        <v>47</v>
      </c>
      <c r="C19" s="4" t="n">
        <f aca="false">'A5 Pop Education'!C21</f>
        <v>2.5</v>
      </c>
      <c r="D19" s="4" t="n">
        <f aca="false">'A5 Pop Education'!D21</f>
        <v>21.7</v>
      </c>
      <c r="E19" s="4" t="n">
        <f aca="false">'A5 Pop Education'!F21</f>
        <v>16.1</v>
      </c>
      <c r="F19" s="4" t="n">
        <f aca="false">'A6 Head Education'!C21</f>
        <v>2.4</v>
      </c>
      <c r="G19" s="4" t="n">
        <f aca="false">'A6 Head Education'!D21</f>
        <v>20.9</v>
      </c>
      <c r="H19" s="4" t="n">
        <f aca="false">SUM('A6 Head Education'!F21:H21)</f>
        <v>26.9</v>
      </c>
      <c r="I19" s="4" t="n">
        <f aca="false">'A12 Attendance 5-19'!C21</f>
        <v>87.4</v>
      </c>
      <c r="J19" s="4" t="n">
        <f aca="false">'A12 Attendance 5-19'!E21</f>
        <v>9.5</v>
      </c>
      <c r="K19" s="4" t="n">
        <f aca="false">'A13 Attendance 5-14'!D21</f>
        <v>4.4</v>
      </c>
      <c r="L19" s="4" t="n">
        <f aca="false">'A14 Distance'!F21+'A14 Distance'!G21</f>
        <v>32</v>
      </c>
      <c r="M19" s="4" t="n">
        <f aca="false">'A15 Travel Mode'!C21</f>
        <v>16.8</v>
      </c>
      <c r="N19" s="5" t="n">
        <f aca="false">'School Census 2025'!F21</f>
        <v>315282</v>
      </c>
      <c r="O19" s="4" t="n">
        <f aca="false">'School Census 2025'!I21</f>
        <v>20.883209317373</v>
      </c>
      <c r="P19" s="4" t="n">
        <f aca="false">'School Census 2025'!M21</f>
        <v>15.2214551248009</v>
      </c>
      <c r="Q19" s="4" t="n">
        <f aca="false">'School Census 2025'!N21</f>
        <v>363.228110599078</v>
      </c>
      <c r="R19" s="6" t="n">
        <v>12</v>
      </c>
      <c r="S19" s="7" t="n">
        <v>17.9</v>
      </c>
      <c r="T19" s="4" t="n">
        <f aca="false">136168/U19*1000</f>
        <v>77.0113044324143</v>
      </c>
      <c r="U19" s="7" t="n">
        <v>1768156</v>
      </c>
      <c r="V19" s="6" t="n">
        <v>2.31</v>
      </c>
      <c r="W19" s="6" t="n">
        <v>0</v>
      </c>
      <c r="X19" s="6" t="n">
        <v>26.19</v>
      </c>
    </row>
    <row r="20" customFormat="false" ht="15" hidden="false" customHeight="false" outlineLevel="0" collapsed="false">
      <c r="A20" s="3" t="s">
        <v>48</v>
      </c>
      <c r="B20" s="4" t="s">
        <v>47</v>
      </c>
      <c r="C20" s="4" t="n">
        <f aca="false">'A5 Pop Education'!C22</f>
        <v>3.7</v>
      </c>
      <c r="D20" s="4" t="n">
        <f aca="false">'A5 Pop Education'!D22</f>
        <v>28.2</v>
      </c>
      <c r="E20" s="4" t="n">
        <f aca="false">'A5 Pop Education'!F22</f>
        <v>8.7</v>
      </c>
      <c r="F20" s="4" t="n">
        <f aca="false">'A6 Head Education'!C22</f>
        <v>3.4</v>
      </c>
      <c r="G20" s="4" t="n">
        <f aca="false">'A6 Head Education'!D22</f>
        <v>30.5</v>
      </c>
      <c r="H20" s="4" t="n">
        <f aca="false">SUM('A6 Head Education'!F22:H22)</f>
        <v>18.4</v>
      </c>
      <c r="I20" s="4" t="n">
        <f aca="false">'A12 Attendance 5-19'!C22</f>
        <v>81.5</v>
      </c>
      <c r="J20" s="4" t="n">
        <f aca="false">'A12 Attendance 5-19'!E22</f>
        <v>14.2</v>
      </c>
      <c r="K20" s="4" t="n">
        <f aca="false">'A13 Attendance 5-14'!D22</f>
        <v>6.5</v>
      </c>
      <c r="L20" s="4" t="n">
        <f aca="false">'A14 Distance'!F22+'A14 Distance'!G22</f>
        <v>21.4</v>
      </c>
      <c r="M20" s="4" t="n">
        <f aca="false">'A15 Travel Mode'!C22</f>
        <v>22.3</v>
      </c>
      <c r="N20" s="5" t="n">
        <f aca="false">'School Census 2025'!F22</f>
        <v>154385</v>
      </c>
      <c r="O20" s="4" t="n">
        <f aca="false">'School Census 2025'!I22</f>
        <v>11.9033584868996</v>
      </c>
      <c r="P20" s="4" t="n">
        <f aca="false">'School Census 2025'!M22</f>
        <v>16.6219853574505</v>
      </c>
      <c r="Q20" s="4" t="n">
        <f aca="false">'School Census 2025'!N22</f>
        <v>416.132075471698</v>
      </c>
      <c r="R20" s="6" t="n">
        <v>10</v>
      </c>
      <c r="S20" s="7" t="n">
        <v>18.6</v>
      </c>
      <c r="T20" s="4" t="n">
        <f aca="false">842749/U20*1000</f>
        <v>1029.22878888542</v>
      </c>
      <c r="U20" s="7" t="n">
        <v>818816</v>
      </c>
      <c r="V20" s="6" t="n">
        <v>2.92</v>
      </c>
      <c r="W20" s="6" t="n">
        <v>150</v>
      </c>
      <c r="X20" s="6" t="n">
        <v>33.76</v>
      </c>
    </row>
    <row r="21" customFormat="false" ht="15" hidden="false" customHeight="false" outlineLevel="0" collapsed="false">
      <c r="A21" s="3" t="s">
        <v>49</v>
      </c>
      <c r="B21" s="4" t="s">
        <v>50</v>
      </c>
      <c r="C21" s="4" t="n">
        <f aca="false">'A5 Pop Education'!C23</f>
        <v>2.9</v>
      </c>
      <c r="D21" s="4" t="n">
        <f aca="false">'A5 Pop Education'!D23</f>
        <v>24.7</v>
      </c>
      <c r="E21" s="4" t="n">
        <f aca="false">'A5 Pop Education'!F23</f>
        <v>15.2</v>
      </c>
      <c r="F21" s="4" t="n">
        <f aca="false">'A6 Head Education'!C23</f>
        <v>2.3</v>
      </c>
      <c r="G21" s="4" t="n">
        <f aca="false">'A6 Head Education'!D23</f>
        <v>22.8</v>
      </c>
      <c r="H21" s="4" t="n">
        <f aca="false">SUM('A6 Head Education'!F23:H23)</f>
        <v>23.3</v>
      </c>
      <c r="I21" s="4" t="n">
        <f aca="false">'A12 Attendance 5-19'!C23</f>
        <v>89</v>
      </c>
      <c r="J21" s="4" t="n">
        <f aca="false">'A12 Attendance 5-19'!E23</f>
        <v>8</v>
      </c>
      <c r="K21" s="4" t="n">
        <f aca="false">'A13 Attendance 5-14'!D23</f>
        <v>4.3</v>
      </c>
      <c r="L21" s="4" t="n">
        <f aca="false">'A14 Distance'!F23+'A14 Distance'!G23</f>
        <v>28.9</v>
      </c>
      <c r="M21" s="4" t="n">
        <f aca="false">'A15 Travel Mode'!C23</f>
        <v>18</v>
      </c>
      <c r="N21" s="5" t="n">
        <f aca="false">'School Census 2025'!F23</f>
        <v>200193</v>
      </c>
      <c r="O21" s="4" t="n">
        <f aca="false">'School Census 2025'!I23</f>
        <v>10.8195591254439</v>
      </c>
      <c r="P21" s="4" t="n">
        <f aca="false">'School Census 2025'!M23</f>
        <v>16.2494318181818</v>
      </c>
      <c r="Q21" s="4" t="n">
        <f aca="false">'School Census 2025'!N23</f>
        <v>360.059352517986</v>
      </c>
      <c r="R21" s="6" t="n">
        <v>18</v>
      </c>
      <c r="S21" s="7" t="n">
        <v>12.8</v>
      </c>
      <c r="T21" s="4" t="n">
        <f aca="false">94157/U21*1000</f>
        <v>98.0720356636947</v>
      </c>
      <c r="U21" s="7" t="n">
        <v>960080</v>
      </c>
      <c r="V21" s="6" t="n">
        <v>2.78</v>
      </c>
      <c r="W21" s="6" t="n">
        <v>0</v>
      </c>
      <c r="X21" s="6" t="n">
        <v>27.94</v>
      </c>
    </row>
    <row r="22" customFormat="false" ht="15" hidden="false" customHeight="false" outlineLevel="0" collapsed="false">
      <c r="A22" s="3" t="s">
        <v>51</v>
      </c>
      <c r="B22" s="4" t="s">
        <v>50</v>
      </c>
      <c r="C22" s="4" t="n">
        <f aca="false">'A5 Pop Education'!C24</f>
        <v>3.7</v>
      </c>
      <c r="D22" s="4" t="n">
        <f aca="false">'A5 Pop Education'!D24</f>
        <v>26.4</v>
      </c>
      <c r="E22" s="4" t="n">
        <f aca="false">'A5 Pop Education'!F24</f>
        <v>14.3</v>
      </c>
      <c r="F22" s="4" t="n">
        <f aca="false">'A6 Head Education'!C24</f>
        <v>3.8</v>
      </c>
      <c r="G22" s="4" t="n">
        <f aca="false">'A6 Head Education'!D24</f>
        <v>27.9</v>
      </c>
      <c r="H22" s="4" t="n">
        <f aca="false">SUM('A6 Head Education'!F24:H24)</f>
        <v>18.6</v>
      </c>
      <c r="I22" s="4" t="n">
        <f aca="false">'A12 Attendance 5-19'!C24</f>
        <v>86.8</v>
      </c>
      <c r="J22" s="4" t="n">
        <f aca="false">'A12 Attendance 5-19'!E24</f>
        <v>9.5</v>
      </c>
      <c r="K22" s="4" t="n">
        <f aca="false">'A13 Attendance 5-14'!D24</f>
        <v>5.1</v>
      </c>
      <c r="L22" s="4" t="n">
        <f aca="false">'A14 Distance'!F24+'A14 Distance'!G24</f>
        <v>19.3</v>
      </c>
      <c r="M22" s="4" t="n">
        <f aca="false">'A15 Travel Mode'!C24</f>
        <v>37.3</v>
      </c>
      <c r="N22" s="5" t="n">
        <f aca="false">'School Census 2025'!F24</f>
        <v>89274</v>
      </c>
      <c r="O22" s="4" t="n">
        <f aca="false">'School Census 2025'!I24</f>
        <v>22.3939780899254</v>
      </c>
      <c r="P22" s="4" t="n">
        <f aca="false">'School Census 2025'!M24</f>
        <v>18.1857812181707</v>
      </c>
      <c r="Q22" s="4" t="n">
        <f aca="false">'School Census 2025'!N24</f>
        <v>358.530120481928</v>
      </c>
      <c r="R22" s="6" t="n">
        <v>20</v>
      </c>
      <c r="S22" s="7" t="n">
        <v>15.2</v>
      </c>
      <c r="T22" s="4" t="n">
        <f aca="false">97189/U22*1000</f>
        <v>217.167564185641</v>
      </c>
      <c r="U22" s="7" t="n">
        <v>447530</v>
      </c>
      <c r="V22" s="6" t="n">
        <v>3.75</v>
      </c>
      <c r="W22" s="6" t="n">
        <v>282</v>
      </c>
      <c r="X22" s="6" t="n">
        <v>34.07</v>
      </c>
    </row>
    <row r="23" customFormat="false" ht="15" hidden="false" customHeight="false" outlineLevel="0" collapsed="false">
      <c r="A23" s="3" t="s">
        <v>52</v>
      </c>
      <c r="B23" s="4" t="s">
        <v>53</v>
      </c>
      <c r="C23" s="4" t="n">
        <f aca="false">'A5 Pop Education'!C25</f>
        <v>6.8</v>
      </c>
      <c r="D23" s="4" t="n">
        <f aca="false">'A5 Pop Education'!D25</f>
        <v>24</v>
      </c>
      <c r="E23" s="4" t="n">
        <f aca="false">'A5 Pop Education'!F25</f>
        <v>14.6</v>
      </c>
      <c r="F23" s="4" t="n">
        <f aca="false">'A6 Head Education'!C25</f>
        <v>9</v>
      </c>
      <c r="G23" s="4" t="n">
        <f aca="false">'A6 Head Education'!D25</f>
        <v>24.8</v>
      </c>
      <c r="H23" s="4" t="n">
        <f aca="false">SUM('A6 Head Education'!F25:H25)</f>
        <v>18</v>
      </c>
      <c r="I23" s="4" t="n">
        <f aca="false">'A12 Attendance 5-19'!C25</f>
        <v>85.9</v>
      </c>
      <c r="J23" s="4" t="n">
        <f aca="false">'A12 Attendance 5-19'!E25</f>
        <v>11.5</v>
      </c>
      <c r="K23" s="4" t="n">
        <f aca="false">'A13 Attendance 5-14'!D25</f>
        <v>4</v>
      </c>
      <c r="L23" s="4" t="n">
        <f aca="false">'A14 Distance'!F25+'A14 Distance'!G25</f>
        <v>22.6</v>
      </c>
      <c r="M23" s="4" t="n">
        <f aca="false">'A15 Travel Mode'!C25</f>
        <v>45.2</v>
      </c>
      <c r="N23" s="5" t="n">
        <f aca="false">'School Census 2025'!F25</f>
        <v>167138</v>
      </c>
      <c r="O23" s="4" t="n">
        <f aca="false">'School Census 2025'!I25</f>
        <v>19.9637425361079</v>
      </c>
      <c r="P23" s="4" t="n">
        <f aca="false">'School Census 2025'!M25</f>
        <v>12.3249022933412</v>
      </c>
      <c r="Q23" s="4" t="n">
        <f aca="false">'School Census 2025'!N25</f>
        <v>278.099833610649</v>
      </c>
      <c r="R23" s="6" t="n">
        <v>37</v>
      </c>
      <c r="S23" s="7" t="n">
        <v>16.5</v>
      </c>
      <c r="T23" s="4" t="n">
        <f aca="false">142446/U23*1000</f>
        <v>163.298013199481</v>
      </c>
      <c r="U23" s="7" t="n">
        <v>872307</v>
      </c>
      <c r="V23" s="6" t="n">
        <v>1.88</v>
      </c>
      <c r="W23" s="6" t="n">
        <v>192</v>
      </c>
      <c r="X23" s="6" t="n">
        <v>25.95</v>
      </c>
    </row>
    <row r="24" customFormat="false" ht="15" hidden="false" customHeight="false" outlineLevel="0" collapsed="false">
      <c r="A24" s="3" t="s">
        <v>54</v>
      </c>
      <c r="B24" s="4" t="s">
        <v>53</v>
      </c>
      <c r="C24" s="4" t="n">
        <f aca="false">'A5 Pop Education'!C26</f>
        <v>5</v>
      </c>
      <c r="D24" s="4" t="n">
        <f aca="false">'A5 Pop Education'!D26</f>
        <v>27.1</v>
      </c>
      <c r="E24" s="4" t="n">
        <f aca="false">'A5 Pop Education'!F26</f>
        <v>10.2</v>
      </c>
      <c r="F24" s="4" t="n">
        <f aca="false">'A6 Head Education'!C26</f>
        <v>6.9</v>
      </c>
      <c r="G24" s="4" t="n">
        <f aca="false">'A6 Head Education'!D26</f>
        <v>28.6</v>
      </c>
      <c r="H24" s="4" t="n">
        <f aca="false">SUM('A6 Head Education'!F26:H26)</f>
        <v>13.2</v>
      </c>
      <c r="I24" s="4" t="n">
        <f aca="false">'A12 Attendance 5-19'!C26</f>
        <v>89</v>
      </c>
      <c r="J24" s="4" t="n">
        <f aca="false">'A12 Attendance 5-19'!E26</f>
        <v>8.7</v>
      </c>
      <c r="K24" s="4" t="n">
        <f aca="false">'A13 Attendance 5-14'!D26</f>
        <v>2.9</v>
      </c>
      <c r="L24" s="4" t="n">
        <f aca="false">'A14 Distance'!F26+'A14 Distance'!G26</f>
        <v>17.4</v>
      </c>
      <c r="M24" s="4" t="n">
        <f aca="false">'A15 Travel Mode'!C26</f>
        <v>32.7</v>
      </c>
      <c r="N24" s="5" t="n">
        <f aca="false">'School Census 2025'!F26</f>
        <v>110875</v>
      </c>
      <c r="O24" s="4" t="n">
        <f aca="false">'School Census 2025'!I26</f>
        <v>18.6561443066516</v>
      </c>
      <c r="P24" s="4" t="n">
        <f aca="false">'School Census 2025'!M26</f>
        <v>16.730798249585</v>
      </c>
      <c r="Q24" s="4" t="n">
        <f aca="false">'School Census 2025'!N26</f>
        <v>381.013745704467</v>
      </c>
      <c r="R24" s="6" t="n">
        <v>33</v>
      </c>
      <c r="S24" s="7" t="n">
        <v>21.6</v>
      </c>
      <c r="T24" s="4" t="n">
        <f aca="false">38294/U24*1000</f>
        <v>72.5835647336448</v>
      </c>
      <c r="U24" s="7" t="n">
        <v>527585</v>
      </c>
      <c r="V24" s="6" t="n">
        <v>2.39</v>
      </c>
      <c r="W24" s="6" t="n">
        <v>0</v>
      </c>
      <c r="X24" s="6" t="n">
        <v>28.32</v>
      </c>
    </row>
    <row r="25" customFormat="false" ht="15" hidden="false" customHeight="false" outlineLevel="0" collapsed="false">
      <c r="A25" s="3" t="s">
        <v>55</v>
      </c>
      <c r="B25" s="4" t="s">
        <v>56</v>
      </c>
      <c r="C25" s="4" t="n">
        <f aca="false">'A5 Pop Education'!C27</f>
        <v>4.7</v>
      </c>
      <c r="D25" s="4" t="n">
        <f aca="false">'A5 Pop Education'!D27</f>
        <v>23</v>
      </c>
      <c r="E25" s="4" t="n">
        <f aca="false">'A5 Pop Education'!F27</f>
        <v>15.5</v>
      </c>
      <c r="F25" s="4" t="n">
        <f aca="false">'A6 Head Education'!C27</f>
        <v>5.1</v>
      </c>
      <c r="G25" s="4" t="n">
        <f aca="false">'A6 Head Education'!D27</f>
        <v>24.3</v>
      </c>
      <c r="H25" s="4" t="n">
        <f aca="false">SUM('A6 Head Education'!F27:H27)</f>
        <v>24</v>
      </c>
      <c r="I25" s="4" t="n">
        <f aca="false">'A12 Attendance 5-19'!C27</f>
        <v>85.8</v>
      </c>
      <c r="J25" s="4" t="n">
        <f aca="false">'A12 Attendance 5-19'!E27</f>
        <v>10.3</v>
      </c>
      <c r="K25" s="4" t="n">
        <f aca="false">'A13 Attendance 5-14'!D27</f>
        <v>5.6</v>
      </c>
      <c r="L25" s="4" t="n">
        <f aca="false">'A14 Distance'!F27+'A14 Distance'!G27</f>
        <v>30.1</v>
      </c>
      <c r="M25" s="4" t="n">
        <f aca="false">'A15 Travel Mode'!C27</f>
        <v>32.2</v>
      </c>
      <c r="N25" s="5" t="n">
        <f aca="false">'School Census 2025'!F27</f>
        <v>211988</v>
      </c>
      <c r="O25" s="4" t="n">
        <f aca="false">'School Census 2025'!I27</f>
        <v>18.5038775779761</v>
      </c>
      <c r="P25" s="4" t="n">
        <f aca="false">'School Census 2025'!M27</f>
        <v>16.1318012327829</v>
      </c>
      <c r="Q25" s="4" t="n">
        <f aca="false">'School Census 2025'!N27</f>
        <v>364.240549828179</v>
      </c>
      <c r="R25" s="6" t="n">
        <v>28</v>
      </c>
      <c r="S25" s="7" t="n">
        <v>26.2</v>
      </c>
      <c r="T25" s="4" t="n">
        <f aca="false">422704/U25*1000</f>
        <v>369.037464761926</v>
      </c>
      <c r="U25" s="7" t="n">
        <v>1145423</v>
      </c>
      <c r="V25" s="6" t="n">
        <v>2.28</v>
      </c>
      <c r="W25" s="6" t="n">
        <v>192</v>
      </c>
      <c r="X25" s="6" t="n">
        <v>27.01</v>
      </c>
    </row>
    <row r="26" customFormat="false" ht="15" hidden="false" customHeight="false" outlineLevel="0" collapsed="false">
      <c r="A26" s="3" t="s">
        <v>57</v>
      </c>
      <c r="B26" s="4" t="s">
        <v>56</v>
      </c>
      <c r="C26" s="4" t="n">
        <f aca="false">'A5 Pop Education'!C28</f>
        <v>2.7</v>
      </c>
      <c r="D26" s="4" t="n">
        <f aca="false">'A5 Pop Education'!D28</f>
        <v>21.8</v>
      </c>
      <c r="E26" s="4" t="n">
        <f aca="false">'A5 Pop Education'!F28</f>
        <v>16.9</v>
      </c>
      <c r="F26" s="4" t="n">
        <f aca="false">'A6 Head Education'!C28</f>
        <v>2.1</v>
      </c>
      <c r="G26" s="4" t="n">
        <f aca="false">'A6 Head Education'!D28</f>
        <v>19.3</v>
      </c>
      <c r="H26" s="4" t="n">
        <f aca="false">SUM('A6 Head Education'!F28:H28)</f>
        <v>24.2</v>
      </c>
      <c r="I26" s="4" t="n">
        <f aca="false">'A12 Attendance 5-19'!C28</f>
        <v>86.9</v>
      </c>
      <c r="J26" s="4" t="n">
        <f aca="false">'A12 Attendance 5-19'!E28</f>
        <v>9.6</v>
      </c>
      <c r="K26" s="4" t="n">
        <f aca="false">'A13 Attendance 5-14'!D28</f>
        <v>5.4</v>
      </c>
      <c r="L26" s="4" t="n">
        <f aca="false">'A14 Distance'!F28+'A14 Distance'!G28</f>
        <v>32.5</v>
      </c>
      <c r="M26" s="4" t="n">
        <f aca="false">'A15 Travel Mode'!C28</f>
        <v>27.6</v>
      </c>
      <c r="N26" s="5" t="n">
        <f aca="false">'School Census 2025'!F28</f>
        <v>148758</v>
      </c>
      <c r="O26" s="4" t="n">
        <f aca="false">'School Census 2025'!I28</f>
        <v>26.5619328036139</v>
      </c>
      <c r="P26" s="4" t="n">
        <f aca="false">'School Census 2025'!M28</f>
        <v>13.1191463091983</v>
      </c>
      <c r="Q26" s="4" t="n">
        <f aca="false">'School Census 2025'!N28</f>
        <v>298.710843373494</v>
      </c>
      <c r="R26" s="6" t="n">
        <v>18</v>
      </c>
      <c r="S26" s="7" t="n">
        <v>8.6</v>
      </c>
      <c r="T26" s="4" t="n">
        <f aca="false">240240/U26*1000</f>
        <v>275.986931288169</v>
      </c>
      <c r="U26" s="7" t="n">
        <v>870476</v>
      </c>
      <c r="V26" s="6" t="n">
        <v>2.2</v>
      </c>
      <c r="W26" s="6" t="n">
        <v>0</v>
      </c>
      <c r="X26" s="6" t="n">
        <v>25.86</v>
      </c>
    </row>
    <row r="28" customFormat="false" ht="15" hidden="false" customHeight="false" outlineLevel="0" collapsed="false">
      <c r="A28" s="8" t="s">
        <v>58</v>
      </c>
    </row>
  </sheetData>
  <autoFilter ref="A1:X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8" min="3" style="0" width="11"/>
  </cols>
  <sheetData>
    <row r="1" customFormat="false" ht="15" hidden="false" customHeight="false" outlineLevel="0" collapsed="false">
      <c r="A1" s="9" t="s">
        <v>59</v>
      </c>
    </row>
    <row r="3" customFormat="false" ht="48" hidden="false" customHeight="true" outlineLevel="0" collapsed="false">
      <c r="A3" s="1" t="s">
        <v>0</v>
      </c>
      <c r="B3" s="1" t="s">
        <v>1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6" t="n">
        <v>1.8</v>
      </c>
      <c r="D4" s="6" t="n">
        <v>14.3</v>
      </c>
      <c r="E4" s="6" t="n">
        <v>38.1</v>
      </c>
      <c r="F4" s="6" t="n">
        <v>21.1</v>
      </c>
      <c r="G4" s="6" t="n">
        <v>19.4</v>
      </c>
      <c r="H4" s="6" t="n">
        <v>5.2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6" t="n">
        <v>1.6</v>
      </c>
      <c r="D5" s="6" t="n">
        <v>13.2</v>
      </c>
      <c r="E5" s="6" t="n">
        <v>43.1</v>
      </c>
      <c r="F5" s="6" t="n">
        <v>21.9</v>
      </c>
      <c r="G5" s="6" t="n">
        <v>16.6</v>
      </c>
      <c r="H5" s="6" t="n">
        <v>3.4</v>
      </c>
    </row>
    <row r="6" customFormat="false" ht="15" hidden="false" customHeight="false" outlineLevel="0" collapsed="false">
      <c r="A6" s="10" t="s">
        <v>27</v>
      </c>
      <c r="B6" s="11" t="s">
        <v>25</v>
      </c>
      <c r="C6" s="6" t="n">
        <v>2.6</v>
      </c>
      <c r="D6" s="6" t="n">
        <v>18.2</v>
      </c>
      <c r="E6" s="6" t="n">
        <v>40.5</v>
      </c>
      <c r="F6" s="6" t="n">
        <v>19.6</v>
      </c>
      <c r="G6" s="6" t="n">
        <v>16.4</v>
      </c>
      <c r="H6" s="6" t="n">
        <v>2.7</v>
      </c>
    </row>
    <row r="7" customFormat="false" ht="15" hidden="false" customHeight="false" outlineLevel="0" collapsed="false">
      <c r="A7" s="10" t="s">
        <v>28</v>
      </c>
      <c r="B7" s="11" t="s">
        <v>29</v>
      </c>
      <c r="C7" s="6" t="n">
        <v>3.6</v>
      </c>
      <c r="D7" s="6" t="n">
        <v>20.9</v>
      </c>
      <c r="E7" s="6" t="n">
        <v>43.6</v>
      </c>
      <c r="F7" s="6" t="n">
        <v>15.2</v>
      </c>
      <c r="G7" s="6" t="n">
        <v>13.3</v>
      </c>
      <c r="H7" s="6" t="n">
        <v>3.3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6" t="n">
        <v>4.2</v>
      </c>
      <c r="D8" s="6" t="n">
        <v>22</v>
      </c>
      <c r="E8" s="6" t="n">
        <v>45.6</v>
      </c>
      <c r="F8" s="6" t="n">
        <v>15.9</v>
      </c>
      <c r="G8" s="6" t="n">
        <v>10.7</v>
      </c>
      <c r="H8" s="6" t="n">
        <v>1.6</v>
      </c>
    </row>
    <row r="9" customFormat="false" ht="15" hidden="false" customHeight="false" outlineLevel="0" collapsed="false">
      <c r="A9" s="10" t="s">
        <v>31</v>
      </c>
      <c r="B9" s="11" t="s">
        <v>29</v>
      </c>
      <c r="C9" s="6" t="n">
        <v>4.7</v>
      </c>
      <c r="D9" s="6" t="n">
        <v>27.5</v>
      </c>
      <c r="E9" s="6" t="n">
        <v>45.3</v>
      </c>
      <c r="F9" s="6" t="n">
        <v>12.8</v>
      </c>
      <c r="G9" s="6" t="n">
        <v>8.7</v>
      </c>
      <c r="H9" s="6" t="n">
        <v>1</v>
      </c>
    </row>
    <row r="10" customFormat="false" ht="15" hidden="false" customHeight="false" outlineLevel="0" collapsed="false">
      <c r="A10" s="10" t="s">
        <v>32</v>
      </c>
      <c r="B10" s="11" t="s">
        <v>33</v>
      </c>
      <c r="C10" s="6" t="n">
        <v>2.2</v>
      </c>
      <c r="D10" s="6" t="n">
        <v>20.6</v>
      </c>
      <c r="E10" s="6" t="n">
        <v>45.6</v>
      </c>
      <c r="F10" s="6" t="n">
        <v>18.1</v>
      </c>
      <c r="G10" s="6" t="n">
        <v>11.3</v>
      </c>
      <c r="H10" s="6" t="n">
        <v>2.2</v>
      </c>
    </row>
    <row r="11" customFormat="false" ht="15" hidden="false" customHeight="false" outlineLevel="0" collapsed="false">
      <c r="A11" s="10" t="s">
        <v>34</v>
      </c>
      <c r="B11" s="11" t="s">
        <v>33</v>
      </c>
      <c r="C11" s="6" t="n">
        <v>3.5</v>
      </c>
      <c r="D11" s="6" t="n">
        <v>21.8</v>
      </c>
      <c r="E11" s="6" t="n">
        <v>40.3</v>
      </c>
      <c r="F11" s="6" t="n">
        <v>18.4</v>
      </c>
      <c r="G11" s="6" t="n">
        <v>12.8</v>
      </c>
      <c r="H11" s="6" t="n">
        <v>3.1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6" t="n">
        <v>4</v>
      </c>
      <c r="D12" s="6" t="n">
        <v>23.6</v>
      </c>
      <c r="E12" s="6" t="n">
        <v>45.8</v>
      </c>
      <c r="F12" s="6" t="n">
        <v>15.2</v>
      </c>
      <c r="G12" s="6" t="n">
        <v>8.9</v>
      </c>
      <c r="H12" s="6" t="n">
        <v>2.4</v>
      </c>
    </row>
    <row r="13" customFormat="false" ht="15" hidden="false" customHeight="false" outlineLevel="0" collapsed="false">
      <c r="A13" s="10" t="s">
        <v>36</v>
      </c>
      <c r="B13" s="11" t="s">
        <v>37</v>
      </c>
      <c r="C13" s="6" t="n">
        <v>0.8</v>
      </c>
      <c r="D13" s="6" t="n">
        <v>20.9</v>
      </c>
      <c r="E13" s="6" t="n">
        <v>51.2</v>
      </c>
      <c r="F13" s="6" t="n">
        <v>13.6</v>
      </c>
      <c r="G13" s="6" t="n">
        <v>9.6</v>
      </c>
      <c r="H13" s="6" t="n">
        <v>3.8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6" t="n">
        <v>2.3</v>
      </c>
      <c r="D14" s="6" t="n">
        <v>24.4</v>
      </c>
      <c r="E14" s="6" t="n">
        <v>37.5</v>
      </c>
      <c r="F14" s="6" t="n">
        <v>21.9</v>
      </c>
      <c r="G14" s="6" t="n">
        <v>12.4</v>
      </c>
      <c r="H14" s="6" t="n">
        <v>1.5</v>
      </c>
    </row>
    <row r="15" customFormat="false" ht="15" hidden="false" customHeight="false" outlineLevel="0" collapsed="false">
      <c r="A15" s="10" t="s">
        <v>39</v>
      </c>
      <c r="B15" s="11" t="s">
        <v>37</v>
      </c>
      <c r="C15" s="6" t="n">
        <v>3</v>
      </c>
      <c r="D15" s="6" t="n">
        <v>24.1</v>
      </c>
      <c r="E15" s="6" t="n">
        <v>54</v>
      </c>
      <c r="F15" s="6" t="n">
        <v>5.7</v>
      </c>
      <c r="G15" s="6" t="n">
        <v>11.1</v>
      </c>
      <c r="H15" s="6" t="n">
        <v>2.3</v>
      </c>
    </row>
    <row r="16" customFormat="false" ht="15" hidden="false" customHeight="false" outlineLevel="0" collapsed="false">
      <c r="A16" s="10" t="s">
        <v>40</v>
      </c>
      <c r="B16" s="11" t="s">
        <v>37</v>
      </c>
      <c r="C16" s="6" t="n">
        <v>2.6</v>
      </c>
      <c r="D16" s="6" t="n">
        <v>23.7</v>
      </c>
      <c r="E16" s="6" t="n">
        <v>53.6</v>
      </c>
      <c r="F16" s="6" t="n">
        <v>14.2</v>
      </c>
      <c r="G16" s="6" t="n">
        <v>4.2</v>
      </c>
      <c r="H16" s="6" t="n">
        <v>1.8</v>
      </c>
    </row>
    <row r="17" customFormat="false" ht="15" hidden="false" customHeight="false" outlineLevel="0" collapsed="false">
      <c r="A17" s="10" t="s">
        <v>41</v>
      </c>
      <c r="B17" s="11" t="s">
        <v>37</v>
      </c>
      <c r="C17" s="6" t="n">
        <v>2.2</v>
      </c>
      <c r="D17" s="6" t="n">
        <v>24</v>
      </c>
      <c r="E17" s="6" t="n">
        <v>54.3</v>
      </c>
      <c r="F17" s="6" t="n">
        <v>8.4</v>
      </c>
      <c r="G17" s="6" t="n">
        <v>9.5</v>
      </c>
      <c r="H17" s="6" t="n">
        <v>1.6</v>
      </c>
    </row>
    <row r="18" customFormat="false" ht="15" hidden="false" customHeight="false" outlineLevel="0" collapsed="false">
      <c r="A18" s="10" t="s">
        <v>42</v>
      </c>
      <c r="B18" s="11" t="s">
        <v>43</v>
      </c>
      <c r="C18" s="6" t="n">
        <v>5</v>
      </c>
      <c r="D18" s="6" t="n">
        <v>30.3</v>
      </c>
      <c r="E18" s="6" t="n">
        <v>42.8</v>
      </c>
      <c r="F18" s="6" t="n">
        <v>12.7</v>
      </c>
      <c r="G18" s="6" t="n">
        <v>6.9</v>
      </c>
      <c r="H18" s="6" t="n">
        <v>2.2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6" t="n">
        <v>3.1</v>
      </c>
      <c r="D19" s="6" t="n">
        <v>25.9</v>
      </c>
      <c r="E19" s="6" t="n">
        <v>41.5</v>
      </c>
      <c r="F19" s="6" t="n">
        <v>18.2</v>
      </c>
      <c r="G19" s="6" t="n">
        <v>8.9</v>
      </c>
      <c r="H19" s="6" t="n">
        <v>2.4</v>
      </c>
    </row>
    <row r="20" customFormat="false" ht="15" hidden="false" customHeight="false" outlineLevel="0" collapsed="false">
      <c r="A20" s="10" t="s">
        <v>45</v>
      </c>
      <c r="B20" s="11" t="s">
        <v>43</v>
      </c>
      <c r="C20" s="6" t="n">
        <v>3.7</v>
      </c>
      <c r="D20" s="6" t="n">
        <v>27.7</v>
      </c>
      <c r="E20" s="6" t="n">
        <v>45.8</v>
      </c>
      <c r="F20" s="6" t="n">
        <v>15.3</v>
      </c>
      <c r="G20" s="6" t="n">
        <v>5.3</v>
      </c>
      <c r="H20" s="6" t="n">
        <v>2.1</v>
      </c>
    </row>
    <row r="21" customFormat="false" ht="15" hidden="false" customHeight="false" outlineLevel="0" collapsed="false">
      <c r="A21" s="10" t="s">
        <v>46</v>
      </c>
      <c r="B21" s="11" t="s">
        <v>47</v>
      </c>
      <c r="C21" s="6" t="n">
        <v>2.5</v>
      </c>
      <c r="D21" s="6" t="n">
        <v>21.7</v>
      </c>
      <c r="E21" s="6" t="n">
        <v>46.1</v>
      </c>
      <c r="F21" s="6" t="n">
        <v>16.1</v>
      </c>
      <c r="G21" s="6" t="n">
        <v>11</v>
      </c>
      <c r="H21" s="6" t="n">
        <v>2.6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6" t="n">
        <v>3.7</v>
      </c>
      <c r="D22" s="6" t="n">
        <v>28.2</v>
      </c>
      <c r="E22" s="6" t="n">
        <v>48</v>
      </c>
      <c r="F22" s="6" t="n">
        <v>8.7</v>
      </c>
      <c r="G22" s="6" t="n">
        <v>9.6</v>
      </c>
      <c r="H22" s="6" t="n">
        <v>1.8</v>
      </c>
    </row>
    <row r="23" customFormat="false" ht="15" hidden="false" customHeight="false" outlineLevel="0" collapsed="false">
      <c r="A23" s="10" t="s">
        <v>49</v>
      </c>
      <c r="B23" s="11" t="s">
        <v>50</v>
      </c>
      <c r="C23" s="6" t="n">
        <v>2.9</v>
      </c>
      <c r="D23" s="6" t="n">
        <v>24.7</v>
      </c>
      <c r="E23" s="6" t="n">
        <v>45.9</v>
      </c>
      <c r="F23" s="6" t="n">
        <v>15.2</v>
      </c>
      <c r="G23" s="6" t="n">
        <v>9.1</v>
      </c>
      <c r="H23" s="6" t="n">
        <v>2.1</v>
      </c>
    </row>
    <row r="24" customFormat="false" ht="15" hidden="false" customHeight="false" outlineLevel="0" collapsed="false">
      <c r="A24" s="10" t="s">
        <v>51</v>
      </c>
      <c r="B24" s="11" t="s">
        <v>50</v>
      </c>
      <c r="C24" s="6" t="n">
        <v>3.7</v>
      </c>
      <c r="D24" s="6" t="n">
        <v>26.4</v>
      </c>
      <c r="E24" s="6" t="n">
        <v>45.8</v>
      </c>
      <c r="F24" s="6" t="n">
        <v>14.3</v>
      </c>
      <c r="G24" s="6" t="n">
        <v>8.1</v>
      </c>
      <c r="H24" s="6" t="n">
        <v>1.7</v>
      </c>
    </row>
    <row r="25" customFormat="false" ht="15" hidden="false" customHeight="false" outlineLevel="0" collapsed="false">
      <c r="A25" s="10" t="s">
        <v>52</v>
      </c>
      <c r="B25" s="11" t="s">
        <v>53</v>
      </c>
      <c r="C25" s="6" t="n">
        <v>6.8</v>
      </c>
      <c r="D25" s="6" t="n">
        <v>24</v>
      </c>
      <c r="E25" s="6" t="n">
        <v>45.6</v>
      </c>
      <c r="F25" s="6" t="n">
        <v>14.6</v>
      </c>
      <c r="G25" s="6" t="n">
        <v>7.1</v>
      </c>
      <c r="H25" s="6" t="n">
        <v>1.8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6" t="n">
        <v>5</v>
      </c>
      <c r="D26" s="6" t="n">
        <v>27.1</v>
      </c>
      <c r="E26" s="6" t="n">
        <v>48.5</v>
      </c>
      <c r="F26" s="6" t="n">
        <v>10.2</v>
      </c>
      <c r="G26" s="6" t="n">
        <v>7.8</v>
      </c>
      <c r="H26" s="6" t="n">
        <v>1.4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6" t="n">
        <v>4.7</v>
      </c>
      <c r="D27" s="6" t="n">
        <v>23</v>
      </c>
      <c r="E27" s="6" t="n">
        <v>44.4</v>
      </c>
      <c r="F27" s="6" t="n">
        <v>15.5</v>
      </c>
      <c r="G27" s="6" t="n">
        <v>10.1</v>
      </c>
      <c r="H27" s="6" t="n">
        <v>2.2</v>
      </c>
    </row>
    <row r="28" customFormat="false" ht="15" hidden="false" customHeight="false" outlineLevel="0" collapsed="false">
      <c r="A28" s="10" t="s">
        <v>57</v>
      </c>
      <c r="B28" s="11" t="s">
        <v>56</v>
      </c>
      <c r="C28" s="6" t="n">
        <v>2.7</v>
      </c>
      <c r="D28" s="6" t="n">
        <v>21.8</v>
      </c>
      <c r="E28" s="6" t="n">
        <v>45.3</v>
      </c>
      <c r="F28" s="6" t="n">
        <v>16.9</v>
      </c>
      <c r="G28" s="6" t="n">
        <v>11.3</v>
      </c>
      <c r="H28" s="6" t="n">
        <v>1.9</v>
      </c>
    </row>
    <row r="30" customFormat="false" ht="15" hidden="false" customHeight="false" outlineLevel="0" collapsed="false">
      <c r="A30" s="8" t="s">
        <v>66</v>
      </c>
    </row>
  </sheetData>
  <autoFilter ref="A3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8" min="3" style="0" width="11"/>
  </cols>
  <sheetData>
    <row r="1" customFormat="false" ht="15" hidden="false" customHeight="false" outlineLevel="0" collapsed="false">
      <c r="A1" s="9" t="s">
        <v>67</v>
      </c>
    </row>
    <row r="3" customFormat="false" ht="48" hidden="false" customHeight="true" outlineLevel="0" collapsed="false">
      <c r="A3" s="1" t="s">
        <v>0</v>
      </c>
      <c r="B3" s="1" t="s">
        <v>1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6" t="n">
        <v>1.6</v>
      </c>
      <c r="D4" s="6" t="n">
        <v>7.6</v>
      </c>
      <c r="E4" s="6" t="n">
        <v>41</v>
      </c>
      <c r="F4" s="6" t="n">
        <v>24.4</v>
      </c>
      <c r="G4" s="6" t="n">
        <v>18.9</v>
      </c>
      <c r="H4" s="6" t="n">
        <v>6.4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6" t="n">
        <v>0.8</v>
      </c>
      <c r="D5" s="6" t="n">
        <v>7.7</v>
      </c>
      <c r="E5" s="6" t="n">
        <v>48.6</v>
      </c>
      <c r="F5" s="6" t="n">
        <v>23.5</v>
      </c>
      <c r="G5" s="6" t="n">
        <v>16.2</v>
      </c>
      <c r="H5" s="6" t="n">
        <v>3</v>
      </c>
    </row>
    <row r="6" customFormat="false" ht="15" hidden="false" customHeight="false" outlineLevel="0" collapsed="false">
      <c r="A6" s="10" t="s">
        <v>27</v>
      </c>
      <c r="B6" s="11" t="s">
        <v>25</v>
      </c>
      <c r="C6" s="6" t="n">
        <v>2.4</v>
      </c>
      <c r="D6" s="6" t="n">
        <v>13.7</v>
      </c>
      <c r="E6" s="6" t="n">
        <v>47.4</v>
      </c>
      <c r="F6" s="6" t="n">
        <v>20.9</v>
      </c>
      <c r="G6" s="6" t="n">
        <v>13</v>
      </c>
      <c r="H6" s="6" t="n">
        <v>2.7</v>
      </c>
    </row>
    <row r="7" customFormat="false" ht="15" hidden="false" customHeight="false" outlineLevel="0" collapsed="false">
      <c r="A7" s="10" t="s">
        <v>28</v>
      </c>
      <c r="B7" s="11" t="s">
        <v>29</v>
      </c>
      <c r="C7" s="6" t="n">
        <v>4.2</v>
      </c>
      <c r="D7" s="6" t="n">
        <v>20.1</v>
      </c>
      <c r="E7" s="6" t="n">
        <v>46.7</v>
      </c>
      <c r="F7" s="6" t="n">
        <v>12.3</v>
      </c>
      <c r="G7" s="6" t="n">
        <v>12.8</v>
      </c>
      <c r="H7" s="6" t="n">
        <v>3.9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6" t="n">
        <v>4.9</v>
      </c>
      <c r="D8" s="6" t="n">
        <v>21.1</v>
      </c>
      <c r="E8" s="6" t="n">
        <v>50.3</v>
      </c>
      <c r="F8" s="6" t="n">
        <v>13.2</v>
      </c>
      <c r="G8" s="6" t="n">
        <v>8.9</v>
      </c>
      <c r="H8" s="6" t="n">
        <v>1.5</v>
      </c>
    </row>
    <row r="9" customFormat="false" ht="15" hidden="false" customHeight="false" outlineLevel="0" collapsed="false">
      <c r="A9" s="10" t="s">
        <v>31</v>
      </c>
      <c r="B9" s="11" t="s">
        <v>29</v>
      </c>
      <c r="C9" s="6" t="n">
        <v>4.8</v>
      </c>
      <c r="D9" s="6" t="n">
        <v>31.2</v>
      </c>
      <c r="E9" s="6" t="n">
        <v>44.8</v>
      </c>
      <c r="F9" s="6" t="n">
        <v>10.8</v>
      </c>
      <c r="G9" s="6" t="n">
        <v>7.1</v>
      </c>
      <c r="H9" s="6" t="n">
        <v>1.4</v>
      </c>
    </row>
    <row r="10" customFormat="false" ht="15" hidden="false" customHeight="false" outlineLevel="0" collapsed="false">
      <c r="A10" s="10" t="s">
        <v>32</v>
      </c>
      <c r="B10" s="11" t="s">
        <v>33</v>
      </c>
      <c r="C10" s="6" t="n">
        <v>2.8</v>
      </c>
      <c r="D10" s="6" t="n">
        <v>19.1</v>
      </c>
      <c r="E10" s="6" t="n">
        <v>51</v>
      </c>
      <c r="F10" s="6" t="n">
        <v>15.8</v>
      </c>
      <c r="G10" s="6" t="n">
        <v>9.3</v>
      </c>
      <c r="H10" s="6" t="n">
        <v>1.9</v>
      </c>
    </row>
    <row r="11" customFormat="false" ht="15" hidden="false" customHeight="false" outlineLevel="0" collapsed="false">
      <c r="A11" s="10" t="s">
        <v>34</v>
      </c>
      <c r="B11" s="11" t="s">
        <v>33</v>
      </c>
      <c r="C11" s="6" t="n">
        <v>4.1</v>
      </c>
      <c r="D11" s="6" t="n">
        <v>23.1</v>
      </c>
      <c r="E11" s="6" t="n">
        <v>40.3</v>
      </c>
      <c r="F11" s="6" t="n">
        <v>18.1</v>
      </c>
      <c r="G11" s="6" t="n">
        <v>11.4</v>
      </c>
      <c r="H11" s="6" t="n">
        <v>2.9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6" t="n">
        <v>5.6</v>
      </c>
      <c r="D12" s="6" t="n">
        <v>28.4</v>
      </c>
      <c r="E12" s="6" t="n">
        <v>47.3</v>
      </c>
      <c r="F12" s="6" t="n">
        <v>11.4</v>
      </c>
      <c r="G12" s="6" t="n">
        <v>5.5</v>
      </c>
      <c r="H12" s="6" t="n">
        <v>1.7</v>
      </c>
    </row>
    <row r="13" customFormat="false" ht="15" hidden="false" customHeight="false" outlineLevel="0" collapsed="false">
      <c r="A13" s="10" t="s">
        <v>36</v>
      </c>
      <c r="B13" s="11" t="s">
        <v>37</v>
      </c>
      <c r="C13" s="6" t="n">
        <v>0.5</v>
      </c>
      <c r="D13" s="6" t="n">
        <v>22.7</v>
      </c>
      <c r="E13" s="6" t="n">
        <v>57.5</v>
      </c>
      <c r="F13" s="6" t="n">
        <v>10.7</v>
      </c>
      <c r="G13" s="6" t="n">
        <v>5.5</v>
      </c>
      <c r="H13" s="6" t="n">
        <v>3.2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6" t="n">
        <v>2.9</v>
      </c>
      <c r="D14" s="6" t="n">
        <v>26</v>
      </c>
      <c r="E14" s="6" t="n">
        <v>47.5</v>
      </c>
      <c r="F14" s="6" t="n">
        <v>14.9</v>
      </c>
      <c r="G14" s="6" t="n">
        <v>7.6</v>
      </c>
      <c r="H14" s="6" t="n">
        <v>1.1</v>
      </c>
    </row>
    <row r="15" customFormat="false" ht="15" hidden="false" customHeight="false" outlineLevel="0" collapsed="false">
      <c r="A15" s="10" t="s">
        <v>39</v>
      </c>
      <c r="B15" s="11" t="s">
        <v>37</v>
      </c>
      <c r="C15" s="6" t="n">
        <v>2.9</v>
      </c>
      <c r="D15" s="6" t="n">
        <v>22.1</v>
      </c>
      <c r="E15" s="6" t="n">
        <v>62.5</v>
      </c>
      <c r="F15" s="6" t="n">
        <v>2.6</v>
      </c>
      <c r="G15" s="6" t="n">
        <v>8.6</v>
      </c>
      <c r="H15" s="6" t="n">
        <v>1.4</v>
      </c>
    </row>
    <row r="16" customFormat="false" ht="15" hidden="false" customHeight="false" outlineLevel="0" collapsed="false">
      <c r="A16" s="10" t="s">
        <v>40</v>
      </c>
      <c r="B16" s="11" t="s">
        <v>37</v>
      </c>
      <c r="C16" s="6" t="n">
        <v>3.3</v>
      </c>
      <c r="D16" s="6" t="n">
        <v>27</v>
      </c>
      <c r="E16" s="6" t="n">
        <v>59.5</v>
      </c>
      <c r="F16" s="6" t="n">
        <v>6.5</v>
      </c>
      <c r="G16" s="6" t="n">
        <v>2.4</v>
      </c>
      <c r="H16" s="6" t="n">
        <v>1.3</v>
      </c>
    </row>
    <row r="17" customFormat="false" ht="15" hidden="false" customHeight="false" outlineLevel="0" collapsed="false">
      <c r="A17" s="10" t="s">
        <v>41</v>
      </c>
      <c r="B17" s="11" t="s">
        <v>37</v>
      </c>
      <c r="C17" s="6" t="n">
        <v>1.6</v>
      </c>
      <c r="D17" s="6" t="n">
        <v>22.3</v>
      </c>
      <c r="E17" s="6" t="n">
        <v>64.9</v>
      </c>
      <c r="F17" s="6" t="n">
        <v>2.8</v>
      </c>
      <c r="G17" s="6" t="n">
        <v>7.5</v>
      </c>
      <c r="H17" s="6" t="n">
        <v>0.8</v>
      </c>
    </row>
    <row r="18" customFormat="false" ht="15" hidden="false" customHeight="false" outlineLevel="0" collapsed="false">
      <c r="A18" s="10" t="s">
        <v>42</v>
      </c>
      <c r="B18" s="11" t="s">
        <v>43</v>
      </c>
      <c r="C18" s="6" t="n">
        <v>7.3</v>
      </c>
      <c r="D18" s="6" t="n">
        <v>33.1</v>
      </c>
      <c r="E18" s="6" t="n">
        <v>40.8</v>
      </c>
      <c r="F18" s="6" t="n">
        <v>11</v>
      </c>
      <c r="G18" s="6" t="n">
        <v>5.1</v>
      </c>
      <c r="H18" s="6" t="n">
        <v>2.5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6" t="n">
        <v>3.5</v>
      </c>
      <c r="D19" s="6" t="n">
        <v>26.3</v>
      </c>
      <c r="E19" s="6" t="n">
        <v>42.4</v>
      </c>
      <c r="F19" s="6" t="n">
        <v>16.4</v>
      </c>
      <c r="G19" s="6" t="n">
        <v>7.8</v>
      </c>
      <c r="H19" s="6" t="n">
        <v>3.5</v>
      </c>
    </row>
    <row r="20" customFormat="false" ht="15" hidden="false" customHeight="false" outlineLevel="0" collapsed="false">
      <c r="A20" s="10" t="s">
        <v>45</v>
      </c>
      <c r="B20" s="11" t="s">
        <v>43</v>
      </c>
      <c r="C20" s="6" t="n">
        <v>4.1</v>
      </c>
      <c r="D20" s="6" t="n">
        <v>28.2</v>
      </c>
      <c r="E20" s="6" t="n">
        <v>47.7</v>
      </c>
      <c r="F20" s="6" t="n">
        <v>14.8</v>
      </c>
      <c r="G20" s="6" t="n">
        <v>2.7</v>
      </c>
      <c r="H20" s="6" t="n">
        <v>2.5</v>
      </c>
    </row>
    <row r="21" customFormat="false" ht="15" hidden="false" customHeight="false" outlineLevel="0" collapsed="false">
      <c r="A21" s="10" t="s">
        <v>46</v>
      </c>
      <c r="B21" s="11" t="s">
        <v>47</v>
      </c>
      <c r="C21" s="6" t="n">
        <v>2.4</v>
      </c>
      <c r="D21" s="6" t="n">
        <v>20.9</v>
      </c>
      <c r="E21" s="6" t="n">
        <v>49.7</v>
      </c>
      <c r="F21" s="6" t="n">
        <v>15.6</v>
      </c>
      <c r="G21" s="6" t="n">
        <v>8.9</v>
      </c>
      <c r="H21" s="6" t="n">
        <v>2.4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6" t="n">
        <v>3.4</v>
      </c>
      <c r="D22" s="6" t="n">
        <v>30.5</v>
      </c>
      <c r="E22" s="6" t="n">
        <v>47.7</v>
      </c>
      <c r="F22" s="6" t="n">
        <v>7.6</v>
      </c>
      <c r="G22" s="6" t="n">
        <v>9.5</v>
      </c>
      <c r="H22" s="6" t="n">
        <v>1.3</v>
      </c>
    </row>
    <row r="23" customFormat="false" ht="15" hidden="false" customHeight="false" outlineLevel="0" collapsed="false">
      <c r="A23" s="10" t="s">
        <v>49</v>
      </c>
      <c r="B23" s="11" t="s">
        <v>50</v>
      </c>
      <c r="C23" s="6" t="n">
        <v>2.3</v>
      </c>
      <c r="D23" s="6" t="n">
        <v>22.8</v>
      </c>
      <c r="E23" s="6" t="n">
        <v>51.6</v>
      </c>
      <c r="F23" s="6" t="n">
        <v>13.5</v>
      </c>
      <c r="G23" s="6" t="n">
        <v>7.8</v>
      </c>
      <c r="H23" s="6" t="n">
        <v>2</v>
      </c>
    </row>
    <row r="24" customFormat="false" ht="15" hidden="false" customHeight="false" outlineLevel="0" collapsed="false">
      <c r="A24" s="10" t="s">
        <v>51</v>
      </c>
      <c r="B24" s="11" t="s">
        <v>50</v>
      </c>
      <c r="C24" s="6" t="n">
        <v>3.8</v>
      </c>
      <c r="D24" s="6" t="n">
        <v>27.9</v>
      </c>
      <c r="E24" s="6" t="n">
        <v>49.7</v>
      </c>
      <c r="F24" s="6" t="n">
        <v>11.5</v>
      </c>
      <c r="G24" s="6" t="n">
        <v>6.3</v>
      </c>
      <c r="H24" s="6" t="n">
        <v>0.8</v>
      </c>
    </row>
    <row r="25" customFormat="false" ht="15" hidden="false" customHeight="false" outlineLevel="0" collapsed="false">
      <c r="A25" s="10" t="s">
        <v>52</v>
      </c>
      <c r="B25" s="11" t="s">
        <v>53</v>
      </c>
      <c r="C25" s="6" t="n">
        <v>9</v>
      </c>
      <c r="D25" s="6" t="n">
        <v>24.8</v>
      </c>
      <c r="E25" s="6" t="n">
        <v>48.2</v>
      </c>
      <c r="F25" s="6" t="n">
        <v>9.7</v>
      </c>
      <c r="G25" s="6" t="n">
        <v>7</v>
      </c>
      <c r="H25" s="6" t="n">
        <v>1.3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6" t="n">
        <v>6.9</v>
      </c>
      <c r="D26" s="6" t="n">
        <v>28.6</v>
      </c>
      <c r="E26" s="6" t="n">
        <v>51.3</v>
      </c>
      <c r="F26" s="6" t="n">
        <v>6</v>
      </c>
      <c r="G26" s="6" t="n">
        <v>5.3</v>
      </c>
      <c r="H26" s="6" t="n">
        <v>1.9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6" t="n">
        <v>5.1</v>
      </c>
      <c r="D27" s="6" t="n">
        <v>24.3</v>
      </c>
      <c r="E27" s="6" t="n">
        <v>46.5</v>
      </c>
      <c r="F27" s="6" t="n">
        <v>14.7</v>
      </c>
      <c r="G27" s="6" t="n">
        <v>7.8</v>
      </c>
      <c r="H27" s="6" t="n">
        <v>1.5</v>
      </c>
    </row>
    <row r="28" customFormat="false" ht="15" hidden="false" customHeight="false" outlineLevel="0" collapsed="false">
      <c r="A28" s="10" t="s">
        <v>57</v>
      </c>
      <c r="B28" s="11" t="s">
        <v>56</v>
      </c>
      <c r="C28" s="6" t="n">
        <v>2.1</v>
      </c>
      <c r="D28" s="6" t="n">
        <v>19.3</v>
      </c>
      <c r="E28" s="6" t="n">
        <v>54.4</v>
      </c>
      <c r="F28" s="6" t="n">
        <v>14.8</v>
      </c>
      <c r="G28" s="6" t="n">
        <v>8.4</v>
      </c>
      <c r="H28" s="6" t="n">
        <v>1</v>
      </c>
    </row>
    <row r="30" customFormat="false" ht="15" hidden="false" customHeight="false" outlineLevel="0" collapsed="false">
      <c r="A30" s="8" t="s">
        <v>66</v>
      </c>
    </row>
  </sheetData>
  <autoFilter ref="A3:H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9" t="s">
        <v>68</v>
      </c>
    </row>
    <row r="3" customFormat="false" ht="48" hidden="false" customHeight="true" outlineLevel="0" collapsed="false">
      <c r="A3" s="12" t="s">
        <v>0</v>
      </c>
      <c r="B3" s="12" t="s">
        <v>1</v>
      </c>
      <c r="C3" s="12" t="s">
        <v>69</v>
      </c>
      <c r="D3" s="12" t="s">
        <v>70</v>
      </c>
      <c r="E3" s="12" t="s">
        <v>71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6" t="n">
        <v>85.7</v>
      </c>
      <c r="D4" s="6" t="n">
        <v>2.2</v>
      </c>
      <c r="E4" s="6" t="n">
        <v>12.1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6" t="n">
        <v>85</v>
      </c>
      <c r="D5" s="6" t="n">
        <v>3.2</v>
      </c>
      <c r="E5" s="6" t="n">
        <v>11.8</v>
      </c>
    </row>
    <row r="6" customFormat="false" ht="15" hidden="false" customHeight="false" outlineLevel="0" collapsed="false">
      <c r="A6" s="10" t="s">
        <v>27</v>
      </c>
      <c r="B6" s="11" t="s">
        <v>25</v>
      </c>
      <c r="C6" s="6" t="n">
        <v>86.2</v>
      </c>
      <c r="D6" s="6" t="n">
        <v>2.9</v>
      </c>
      <c r="E6" s="6" t="n">
        <v>10.9</v>
      </c>
    </row>
    <row r="7" customFormat="false" ht="15" hidden="false" customHeight="false" outlineLevel="0" collapsed="false">
      <c r="A7" s="10" t="s">
        <v>28</v>
      </c>
      <c r="B7" s="11" t="s">
        <v>29</v>
      </c>
      <c r="C7" s="6" t="n">
        <v>87.4</v>
      </c>
      <c r="D7" s="6" t="n">
        <v>3.5</v>
      </c>
      <c r="E7" s="6" t="n">
        <v>9.1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6" t="n">
        <v>86.9</v>
      </c>
      <c r="D8" s="6" t="n">
        <v>3.5</v>
      </c>
      <c r="E8" s="6" t="n">
        <v>10.6</v>
      </c>
    </row>
    <row r="9" customFormat="false" ht="15" hidden="false" customHeight="false" outlineLevel="0" collapsed="false">
      <c r="A9" s="10" t="s">
        <v>31</v>
      </c>
      <c r="B9" s="11" t="s">
        <v>29</v>
      </c>
      <c r="C9" s="6" t="n">
        <v>86.2</v>
      </c>
      <c r="D9" s="6" t="n">
        <v>3.4</v>
      </c>
      <c r="E9" s="6" t="n">
        <v>10.4</v>
      </c>
    </row>
    <row r="10" customFormat="false" ht="15" hidden="false" customHeight="false" outlineLevel="0" collapsed="false">
      <c r="A10" s="10" t="s">
        <v>32</v>
      </c>
      <c r="B10" s="11" t="s">
        <v>33</v>
      </c>
      <c r="C10" s="6" t="n">
        <v>88.9</v>
      </c>
      <c r="D10" s="6" t="n">
        <v>2.5</v>
      </c>
      <c r="E10" s="6" t="n">
        <v>8.6</v>
      </c>
    </row>
    <row r="11" customFormat="false" ht="15" hidden="false" customHeight="false" outlineLevel="0" collapsed="false">
      <c r="A11" s="10" t="s">
        <v>34</v>
      </c>
      <c r="B11" s="11" t="s">
        <v>33</v>
      </c>
      <c r="C11" s="6" t="n">
        <v>88</v>
      </c>
      <c r="D11" s="6" t="n">
        <v>3.3</v>
      </c>
      <c r="E11" s="6" t="n">
        <v>8.7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6" t="n">
        <v>85.4</v>
      </c>
      <c r="D12" s="6" t="n">
        <v>3.4</v>
      </c>
      <c r="E12" s="6" t="n">
        <v>11.2</v>
      </c>
    </row>
    <row r="13" customFormat="false" ht="15" hidden="false" customHeight="false" outlineLevel="0" collapsed="false">
      <c r="A13" s="10" t="s">
        <v>36</v>
      </c>
      <c r="B13" s="11" t="s">
        <v>37</v>
      </c>
      <c r="C13" s="6" t="n">
        <v>86.7</v>
      </c>
      <c r="D13" s="6" t="n">
        <v>1.6</v>
      </c>
      <c r="E13" s="6" t="n">
        <v>11.7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6" t="n">
        <v>83.6</v>
      </c>
      <c r="D14" s="6" t="n">
        <v>2.8</v>
      </c>
      <c r="E14" s="6" t="n">
        <v>13.6</v>
      </c>
    </row>
    <row r="15" customFormat="false" ht="15" hidden="false" customHeight="false" outlineLevel="0" collapsed="false">
      <c r="A15" s="10" t="s">
        <v>39</v>
      </c>
      <c r="B15" s="11" t="s">
        <v>37</v>
      </c>
      <c r="C15" s="6" t="n">
        <v>83.4</v>
      </c>
      <c r="D15" s="6" t="n">
        <v>2.3</v>
      </c>
      <c r="E15" s="6" t="n">
        <v>14.4</v>
      </c>
    </row>
    <row r="16" customFormat="false" ht="15" hidden="false" customHeight="false" outlineLevel="0" collapsed="false">
      <c r="A16" s="10" t="s">
        <v>40</v>
      </c>
      <c r="B16" s="11" t="s">
        <v>37</v>
      </c>
      <c r="C16" s="6" t="n">
        <v>86.9</v>
      </c>
      <c r="D16" s="6" t="n">
        <v>2.2</v>
      </c>
      <c r="E16" s="6" t="n">
        <v>10.9</v>
      </c>
    </row>
    <row r="17" customFormat="false" ht="15" hidden="false" customHeight="false" outlineLevel="0" collapsed="false">
      <c r="A17" s="10" t="s">
        <v>41</v>
      </c>
      <c r="B17" s="11" t="s">
        <v>37</v>
      </c>
      <c r="C17" s="6" t="n">
        <v>86</v>
      </c>
      <c r="D17" s="6" t="n">
        <v>2.9</v>
      </c>
      <c r="E17" s="6" t="n">
        <v>11.1</v>
      </c>
    </row>
    <row r="18" customFormat="false" ht="15" hidden="false" customHeight="false" outlineLevel="0" collapsed="false">
      <c r="A18" s="10" t="s">
        <v>42</v>
      </c>
      <c r="B18" s="11" t="s">
        <v>43</v>
      </c>
      <c r="C18" s="6" t="n">
        <v>83.9</v>
      </c>
      <c r="D18" s="6" t="n">
        <v>2.1</v>
      </c>
      <c r="E18" s="6" t="n">
        <v>14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6" t="n">
        <v>87.8</v>
      </c>
      <c r="D19" s="6" t="n">
        <v>2.3</v>
      </c>
      <c r="E19" s="6" t="n">
        <v>9.9</v>
      </c>
    </row>
    <row r="20" customFormat="false" ht="15" hidden="false" customHeight="false" outlineLevel="0" collapsed="false">
      <c r="A20" s="10" t="s">
        <v>45</v>
      </c>
      <c r="B20" s="11" t="s">
        <v>43</v>
      </c>
      <c r="C20" s="6" t="n">
        <v>87</v>
      </c>
      <c r="D20" s="6" t="n">
        <v>3</v>
      </c>
      <c r="E20" s="6" t="n">
        <v>10</v>
      </c>
    </row>
    <row r="21" customFormat="false" ht="15" hidden="false" customHeight="false" outlineLevel="0" collapsed="false">
      <c r="A21" s="10" t="s">
        <v>46</v>
      </c>
      <c r="B21" s="11" t="s">
        <v>47</v>
      </c>
      <c r="C21" s="6" t="n">
        <v>87.4</v>
      </c>
      <c r="D21" s="6" t="n">
        <v>3.1</v>
      </c>
      <c r="E21" s="6" t="n">
        <v>9.5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6" t="n">
        <v>81.5</v>
      </c>
      <c r="D22" s="6" t="n">
        <v>4.3</v>
      </c>
      <c r="E22" s="6" t="n">
        <v>14.2</v>
      </c>
    </row>
    <row r="23" customFormat="false" ht="15" hidden="false" customHeight="false" outlineLevel="0" collapsed="false">
      <c r="A23" s="10" t="s">
        <v>49</v>
      </c>
      <c r="B23" s="11" t="s">
        <v>50</v>
      </c>
      <c r="C23" s="6" t="n">
        <v>89</v>
      </c>
      <c r="D23" s="6" t="n">
        <v>3</v>
      </c>
      <c r="E23" s="6" t="n">
        <v>8</v>
      </c>
    </row>
    <row r="24" customFormat="false" ht="15" hidden="false" customHeight="false" outlineLevel="0" collapsed="false">
      <c r="A24" s="10" t="s">
        <v>51</v>
      </c>
      <c r="B24" s="11" t="s">
        <v>50</v>
      </c>
      <c r="C24" s="6" t="n">
        <v>86.8</v>
      </c>
      <c r="D24" s="6" t="n">
        <v>3.7</v>
      </c>
      <c r="E24" s="6" t="n">
        <v>9.5</v>
      </c>
    </row>
    <row r="25" customFormat="false" ht="15" hidden="false" customHeight="false" outlineLevel="0" collapsed="false">
      <c r="A25" s="10" t="s">
        <v>52</v>
      </c>
      <c r="B25" s="11" t="s">
        <v>53</v>
      </c>
      <c r="C25" s="6" t="n">
        <v>85.9</v>
      </c>
      <c r="D25" s="6" t="n">
        <v>2.6</v>
      </c>
      <c r="E25" s="6" t="n">
        <v>11.5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6" t="n">
        <v>89</v>
      </c>
      <c r="D26" s="6" t="n">
        <v>2.3</v>
      </c>
      <c r="E26" s="6" t="n">
        <v>8.7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6" t="n">
        <v>85.8</v>
      </c>
      <c r="D27" s="6" t="n">
        <v>3.9</v>
      </c>
      <c r="E27" s="6" t="n">
        <v>10.3</v>
      </c>
    </row>
    <row r="28" customFormat="false" ht="15" hidden="false" customHeight="false" outlineLevel="0" collapsed="false">
      <c r="A28" s="10" t="s">
        <v>57</v>
      </c>
      <c r="B28" s="11" t="s">
        <v>56</v>
      </c>
      <c r="C28" s="6" t="n">
        <v>86.9</v>
      </c>
      <c r="D28" s="6" t="n">
        <v>3.5</v>
      </c>
      <c r="E28" s="6" t="n">
        <v>9.6</v>
      </c>
    </row>
    <row r="30" customFormat="false" ht="15" hidden="false" customHeight="false" outlineLevel="0" collapsed="false">
      <c r="A30" s="8" t="s">
        <v>66</v>
      </c>
    </row>
  </sheetData>
  <autoFilter ref="A3:E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9" t="s">
        <v>72</v>
      </c>
    </row>
    <row r="3" customFormat="false" ht="48" hidden="false" customHeight="true" outlineLevel="0" collapsed="false">
      <c r="A3" s="12" t="s">
        <v>0</v>
      </c>
      <c r="B3" s="12" t="s">
        <v>1</v>
      </c>
      <c r="C3" s="12" t="s">
        <v>69</v>
      </c>
      <c r="D3" s="12" t="s">
        <v>70</v>
      </c>
      <c r="E3" s="12" t="s">
        <v>73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6" t="n">
        <v>96.8</v>
      </c>
      <c r="D4" s="6" t="n">
        <v>3</v>
      </c>
      <c r="E4" s="6" t="n">
        <v>0.2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6" t="n">
        <v>95.3</v>
      </c>
      <c r="D5" s="6" t="n">
        <v>4.7</v>
      </c>
      <c r="E5" s="6"/>
    </row>
    <row r="6" customFormat="false" ht="15" hidden="false" customHeight="false" outlineLevel="0" collapsed="false">
      <c r="A6" s="10" t="s">
        <v>27</v>
      </c>
      <c r="B6" s="11" t="s">
        <v>25</v>
      </c>
      <c r="C6" s="6" t="n">
        <v>95.5</v>
      </c>
      <c r="D6" s="6" t="n">
        <v>4.5</v>
      </c>
      <c r="E6" s="6"/>
    </row>
    <row r="7" customFormat="false" ht="15" hidden="false" customHeight="false" outlineLevel="0" collapsed="false">
      <c r="A7" s="10" t="s">
        <v>28</v>
      </c>
      <c r="B7" s="11" t="s">
        <v>29</v>
      </c>
      <c r="C7" s="6" t="n">
        <v>94.8</v>
      </c>
      <c r="D7" s="6" t="n">
        <v>5.1</v>
      </c>
      <c r="E7" s="6" t="n">
        <v>0.1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6" t="n">
        <v>94.7</v>
      </c>
      <c r="D8" s="6" t="n">
        <v>5</v>
      </c>
      <c r="E8" s="6" t="n">
        <v>0.3</v>
      </c>
    </row>
    <row r="9" customFormat="false" ht="15" hidden="false" customHeight="false" outlineLevel="0" collapsed="false">
      <c r="A9" s="10" t="s">
        <v>31</v>
      </c>
      <c r="B9" s="11" t="s">
        <v>29</v>
      </c>
      <c r="C9" s="6" t="n">
        <v>94.5</v>
      </c>
      <c r="D9" s="6" t="n">
        <v>4.9</v>
      </c>
      <c r="E9" s="6" t="n">
        <v>0.6</v>
      </c>
    </row>
    <row r="10" customFormat="false" ht="15" hidden="false" customHeight="false" outlineLevel="0" collapsed="false">
      <c r="A10" s="10" t="s">
        <v>32</v>
      </c>
      <c r="B10" s="11" t="s">
        <v>33</v>
      </c>
      <c r="C10" s="6" t="n">
        <v>96.8</v>
      </c>
      <c r="D10" s="6" t="n">
        <v>3.2</v>
      </c>
      <c r="E10" s="6"/>
    </row>
    <row r="11" customFormat="false" ht="15" hidden="false" customHeight="false" outlineLevel="0" collapsed="false">
      <c r="A11" s="10" t="s">
        <v>34</v>
      </c>
      <c r="B11" s="11" t="s">
        <v>33</v>
      </c>
      <c r="C11" s="6" t="n">
        <v>94.6</v>
      </c>
      <c r="D11" s="6" t="n">
        <v>4.6</v>
      </c>
      <c r="E11" s="6" t="n">
        <v>0.8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6" t="n">
        <v>95.1</v>
      </c>
      <c r="D12" s="6" t="n">
        <v>4.9</v>
      </c>
      <c r="E12" s="6"/>
    </row>
    <row r="13" customFormat="false" ht="15" hidden="false" customHeight="false" outlineLevel="0" collapsed="false">
      <c r="A13" s="10" t="s">
        <v>36</v>
      </c>
      <c r="B13" s="11" t="s">
        <v>37</v>
      </c>
      <c r="C13" s="6" t="n">
        <v>97.3</v>
      </c>
      <c r="D13" s="6" t="n">
        <v>2.5</v>
      </c>
      <c r="E13" s="6" t="n">
        <v>0.2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6" t="n">
        <v>95.5</v>
      </c>
      <c r="D14" s="6" t="n">
        <v>4.1</v>
      </c>
      <c r="E14" s="6" t="n">
        <v>0.4</v>
      </c>
    </row>
    <row r="15" customFormat="false" ht="15" hidden="false" customHeight="false" outlineLevel="0" collapsed="false">
      <c r="A15" s="10" t="s">
        <v>39</v>
      </c>
      <c r="B15" s="11" t="s">
        <v>37</v>
      </c>
      <c r="C15" s="6" t="n">
        <v>96.3</v>
      </c>
      <c r="D15" s="6" t="n">
        <v>3.4</v>
      </c>
      <c r="E15" s="6" t="n">
        <v>0.3</v>
      </c>
    </row>
    <row r="16" customFormat="false" ht="15" hidden="false" customHeight="false" outlineLevel="0" collapsed="false">
      <c r="A16" s="10" t="s">
        <v>40</v>
      </c>
      <c r="B16" s="11" t="s">
        <v>37</v>
      </c>
      <c r="C16" s="6" t="n">
        <v>96.4</v>
      </c>
      <c r="D16" s="6" t="n">
        <v>3.6</v>
      </c>
      <c r="E16" s="6"/>
    </row>
    <row r="17" customFormat="false" ht="15" hidden="false" customHeight="false" outlineLevel="0" collapsed="false">
      <c r="A17" s="10" t="s">
        <v>41</v>
      </c>
      <c r="B17" s="11" t="s">
        <v>37</v>
      </c>
      <c r="C17" s="6" t="n">
        <v>96.7</v>
      </c>
      <c r="D17" s="6" t="n">
        <v>3.3</v>
      </c>
      <c r="E17" s="6"/>
    </row>
    <row r="18" customFormat="false" ht="15" hidden="false" customHeight="false" outlineLevel="0" collapsed="false">
      <c r="A18" s="10" t="s">
        <v>42</v>
      </c>
      <c r="B18" s="11" t="s">
        <v>43</v>
      </c>
      <c r="C18" s="6" t="n">
        <v>95.8</v>
      </c>
      <c r="D18" s="6" t="n">
        <v>2.9</v>
      </c>
      <c r="E18" s="6" t="n">
        <v>1.3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6" t="n">
        <v>97.2</v>
      </c>
      <c r="D19" s="6" t="n">
        <v>2.8</v>
      </c>
      <c r="E19" s="6"/>
    </row>
    <row r="20" customFormat="false" ht="15" hidden="false" customHeight="false" outlineLevel="0" collapsed="false">
      <c r="A20" s="10" t="s">
        <v>45</v>
      </c>
      <c r="B20" s="11" t="s">
        <v>43</v>
      </c>
      <c r="C20" s="6" t="n">
        <v>95.6</v>
      </c>
      <c r="D20" s="6" t="n">
        <v>4.4</v>
      </c>
      <c r="E20" s="6"/>
    </row>
    <row r="21" customFormat="false" ht="15" hidden="false" customHeight="false" outlineLevel="0" collapsed="false">
      <c r="A21" s="10" t="s">
        <v>46</v>
      </c>
      <c r="B21" s="11" t="s">
        <v>47</v>
      </c>
      <c r="C21" s="6" t="n">
        <v>95.5</v>
      </c>
      <c r="D21" s="6" t="n">
        <v>4.4</v>
      </c>
      <c r="E21" s="6" t="n">
        <v>0.1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6" t="n">
        <v>93.5</v>
      </c>
      <c r="D22" s="6" t="n">
        <v>6.5</v>
      </c>
      <c r="E22" s="6"/>
    </row>
    <row r="23" customFormat="false" ht="15" hidden="false" customHeight="false" outlineLevel="0" collapsed="false">
      <c r="A23" s="10" t="s">
        <v>49</v>
      </c>
      <c r="B23" s="11" t="s">
        <v>50</v>
      </c>
      <c r="C23" s="6" t="n">
        <v>95.7</v>
      </c>
      <c r="D23" s="6" t="n">
        <v>4.3</v>
      </c>
      <c r="E23" s="6"/>
    </row>
    <row r="24" customFormat="false" ht="15" hidden="false" customHeight="false" outlineLevel="0" collapsed="false">
      <c r="A24" s="10" t="s">
        <v>51</v>
      </c>
      <c r="B24" s="11" t="s">
        <v>50</v>
      </c>
      <c r="C24" s="6" t="n">
        <v>94.9</v>
      </c>
      <c r="D24" s="6" t="n">
        <v>5.1</v>
      </c>
      <c r="E24" s="6"/>
    </row>
    <row r="25" customFormat="false" ht="15" hidden="false" customHeight="false" outlineLevel="0" collapsed="false">
      <c r="A25" s="10" t="s">
        <v>52</v>
      </c>
      <c r="B25" s="11" t="s">
        <v>53</v>
      </c>
      <c r="C25" s="6" t="n">
        <v>95.4</v>
      </c>
      <c r="D25" s="6" t="n">
        <v>4</v>
      </c>
      <c r="E25" s="6" t="n">
        <v>0.6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6" t="n">
        <v>96.5</v>
      </c>
      <c r="D26" s="6" t="n">
        <v>2.9</v>
      </c>
      <c r="E26" s="6" t="n">
        <v>0.6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6" t="n">
        <v>94</v>
      </c>
      <c r="D27" s="6" t="n">
        <v>5.6</v>
      </c>
      <c r="E27" s="6" t="n">
        <v>0.4</v>
      </c>
    </row>
    <row r="28" customFormat="false" ht="15" hidden="false" customHeight="false" outlineLevel="0" collapsed="false">
      <c r="A28" s="10" t="s">
        <v>57</v>
      </c>
      <c r="B28" s="11" t="s">
        <v>56</v>
      </c>
      <c r="C28" s="6" t="n">
        <v>94.4</v>
      </c>
      <c r="D28" s="6" t="n">
        <v>5.4</v>
      </c>
      <c r="E28" s="6" t="n">
        <v>0.2</v>
      </c>
    </row>
    <row r="30" customFormat="false" ht="15" hidden="false" customHeight="false" outlineLevel="0" collapsed="false">
      <c r="A30" s="8" t="s">
        <v>66</v>
      </c>
    </row>
  </sheetData>
  <autoFilter ref="A3:E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7" min="3" style="0" width="11"/>
  </cols>
  <sheetData>
    <row r="1" customFormat="false" ht="15" hidden="false" customHeight="false" outlineLevel="0" collapsed="false">
      <c r="A1" s="9" t="s">
        <v>74</v>
      </c>
    </row>
    <row r="3" customFormat="false" ht="48" hidden="false" customHeight="true" outlineLevel="0" collapsed="false">
      <c r="A3" s="13" t="s">
        <v>0</v>
      </c>
      <c r="B3" s="13" t="s">
        <v>1</v>
      </c>
      <c r="C3" s="13" t="s">
        <v>75</v>
      </c>
      <c r="D3" s="13" t="s">
        <v>76</v>
      </c>
      <c r="E3" s="13" t="s">
        <v>77</v>
      </c>
      <c r="F3" s="13" t="s">
        <v>78</v>
      </c>
      <c r="G3" s="13" t="s">
        <v>79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6" t="n">
        <v>13</v>
      </c>
      <c r="D4" s="6" t="n">
        <v>32.7</v>
      </c>
      <c r="E4" s="6" t="n">
        <v>21.4</v>
      </c>
      <c r="F4" s="6" t="n">
        <v>19</v>
      </c>
      <c r="G4" s="6" t="n">
        <v>13.9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6" t="n">
        <v>15.5</v>
      </c>
      <c r="D5" s="6" t="n">
        <v>34.2</v>
      </c>
      <c r="E5" s="6" t="n">
        <v>18.3</v>
      </c>
      <c r="F5" s="6" t="n">
        <v>17</v>
      </c>
      <c r="G5" s="6" t="n">
        <v>15</v>
      </c>
    </row>
    <row r="6" customFormat="false" ht="15" hidden="false" customHeight="false" outlineLevel="0" collapsed="false">
      <c r="A6" s="10" t="s">
        <v>27</v>
      </c>
      <c r="B6" s="11" t="s">
        <v>25</v>
      </c>
      <c r="C6" s="6" t="n">
        <v>17.5</v>
      </c>
      <c r="D6" s="6" t="n">
        <v>29.8</v>
      </c>
      <c r="E6" s="6" t="n">
        <v>18.4</v>
      </c>
      <c r="F6" s="6" t="n">
        <v>18</v>
      </c>
      <c r="G6" s="6" t="n">
        <v>16.3</v>
      </c>
    </row>
    <row r="7" customFormat="false" ht="15" hidden="false" customHeight="false" outlineLevel="0" collapsed="false">
      <c r="A7" s="10" t="s">
        <v>28</v>
      </c>
      <c r="B7" s="11" t="s">
        <v>29</v>
      </c>
      <c r="C7" s="6" t="n">
        <v>19.9</v>
      </c>
      <c r="D7" s="6" t="n">
        <v>32.7</v>
      </c>
      <c r="E7" s="6" t="n">
        <v>18.9</v>
      </c>
      <c r="F7" s="6" t="n">
        <v>15.3</v>
      </c>
      <c r="G7" s="6" t="n">
        <v>13.2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6" t="n">
        <v>18.7</v>
      </c>
      <c r="D8" s="6" t="n">
        <v>39.4</v>
      </c>
      <c r="E8" s="6" t="n">
        <v>14.1</v>
      </c>
      <c r="F8" s="6" t="n">
        <v>13.3</v>
      </c>
      <c r="G8" s="6" t="n">
        <v>14.6</v>
      </c>
    </row>
    <row r="9" customFormat="false" ht="15" hidden="false" customHeight="false" outlineLevel="0" collapsed="false">
      <c r="A9" s="10" t="s">
        <v>31</v>
      </c>
      <c r="B9" s="11" t="s">
        <v>29</v>
      </c>
      <c r="C9" s="6" t="n">
        <v>16.4</v>
      </c>
      <c r="D9" s="6" t="n">
        <v>33.9</v>
      </c>
      <c r="E9" s="6" t="n">
        <v>17</v>
      </c>
      <c r="F9" s="6" t="n">
        <v>24.8</v>
      </c>
      <c r="G9" s="6" t="n">
        <v>7.9</v>
      </c>
    </row>
    <row r="10" customFormat="false" ht="15" hidden="false" customHeight="false" outlineLevel="0" collapsed="false">
      <c r="A10" s="10" t="s">
        <v>32</v>
      </c>
      <c r="B10" s="11" t="s">
        <v>33</v>
      </c>
      <c r="C10" s="6" t="n">
        <v>18.8</v>
      </c>
      <c r="D10" s="6" t="n">
        <v>31.5</v>
      </c>
      <c r="E10" s="6" t="n">
        <v>19.8</v>
      </c>
      <c r="F10" s="6" t="n">
        <v>17.3</v>
      </c>
      <c r="G10" s="6" t="n">
        <v>12.6</v>
      </c>
    </row>
    <row r="11" customFormat="false" ht="15" hidden="false" customHeight="false" outlineLevel="0" collapsed="false">
      <c r="A11" s="10" t="s">
        <v>34</v>
      </c>
      <c r="B11" s="11" t="s">
        <v>33</v>
      </c>
      <c r="C11" s="6" t="n">
        <v>14</v>
      </c>
      <c r="D11" s="6" t="n">
        <v>35.5</v>
      </c>
      <c r="E11" s="6" t="n">
        <v>18.4</v>
      </c>
      <c r="F11" s="6" t="n">
        <v>18</v>
      </c>
      <c r="G11" s="6" t="n">
        <v>14.1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6" t="n">
        <v>14.9</v>
      </c>
      <c r="D12" s="6" t="n">
        <v>45.3</v>
      </c>
      <c r="E12" s="6" t="n">
        <v>16.3</v>
      </c>
      <c r="F12" s="6" t="n">
        <v>12.3</v>
      </c>
      <c r="G12" s="6" t="n">
        <v>11.2</v>
      </c>
    </row>
    <row r="13" customFormat="false" ht="15" hidden="false" customHeight="false" outlineLevel="0" collapsed="false">
      <c r="A13" s="10" t="s">
        <v>36</v>
      </c>
      <c r="B13" s="11" t="s">
        <v>37</v>
      </c>
      <c r="C13" s="6" t="n">
        <v>28.6</v>
      </c>
      <c r="D13" s="6" t="n">
        <v>41.6</v>
      </c>
      <c r="E13" s="6" t="n">
        <v>14.9</v>
      </c>
      <c r="F13" s="6" t="n">
        <v>9.4</v>
      </c>
      <c r="G13" s="6" t="n">
        <v>5.5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6" t="n">
        <v>35.6</v>
      </c>
      <c r="D14" s="6" t="n">
        <v>36.7</v>
      </c>
      <c r="E14" s="6" t="n">
        <v>15.8</v>
      </c>
      <c r="F14" s="6" t="n">
        <v>6.2</v>
      </c>
      <c r="G14" s="6" t="n">
        <v>5.7</v>
      </c>
    </row>
    <row r="15" customFormat="false" ht="15" hidden="false" customHeight="false" outlineLevel="0" collapsed="false">
      <c r="A15" s="10" t="s">
        <v>39</v>
      </c>
      <c r="B15" s="11" t="s">
        <v>37</v>
      </c>
      <c r="C15" s="6" t="n">
        <v>27.4</v>
      </c>
      <c r="D15" s="6" t="n">
        <v>37.4</v>
      </c>
      <c r="E15" s="6" t="n">
        <v>25</v>
      </c>
      <c r="F15" s="6" t="n">
        <v>7</v>
      </c>
      <c r="G15" s="6" t="n">
        <v>3.2</v>
      </c>
    </row>
    <row r="16" customFormat="false" ht="15" hidden="false" customHeight="false" outlineLevel="0" collapsed="false">
      <c r="A16" s="10" t="s">
        <v>40</v>
      </c>
      <c r="B16" s="11" t="s">
        <v>37</v>
      </c>
      <c r="C16" s="6" t="n">
        <v>41.7</v>
      </c>
      <c r="D16" s="6" t="n">
        <v>30.6</v>
      </c>
      <c r="E16" s="6" t="n">
        <v>21.1</v>
      </c>
      <c r="F16" s="6" t="n">
        <v>2.9</v>
      </c>
      <c r="G16" s="6" t="n">
        <v>3.7</v>
      </c>
    </row>
    <row r="17" customFormat="false" ht="15" hidden="false" customHeight="false" outlineLevel="0" collapsed="false">
      <c r="A17" s="10" t="s">
        <v>41</v>
      </c>
      <c r="B17" s="11" t="s">
        <v>37</v>
      </c>
      <c r="C17" s="6" t="n">
        <v>15.4</v>
      </c>
      <c r="D17" s="6" t="n">
        <v>51</v>
      </c>
      <c r="E17" s="6" t="n">
        <v>22.6</v>
      </c>
      <c r="F17" s="6" t="n">
        <v>10</v>
      </c>
      <c r="G17" s="6" t="n">
        <v>1</v>
      </c>
    </row>
    <row r="18" customFormat="false" ht="15" hidden="false" customHeight="false" outlineLevel="0" collapsed="false">
      <c r="A18" s="10" t="s">
        <v>42</v>
      </c>
      <c r="B18" s="11" t="s">
        <v>43</v>
      </c>
      <c r="C18" s="6" t="n">
        <v>64.5</v>
      </c>
      <c r="D18" s="6" t="n">
        <v>21</v>
      </c>
      <c r="E18" s="6" t="n">
        <v>7.7</v>
      </c>
      <c r="F18" s="6" t="n">
        <v>5</v>
      </c>
      <c r="G18" s="6" t="n">
        <v>1.8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6" t="n">
        <v>57</v>
      </c>
      <c r="D19" s="6" t="n">
        <v>25.4</v>
      </c>
      <c r="E19" s="6" t="n">
        <v>7.2</v>
      </c>
      <c r="F19" s="6" t="n">
        <v>6.7</v>
      </c>
      <c r="G19" s="6" t="n">
        <v>3.7</v>
      </c>
    </row>
    <row r="20" customFormat="false" ht="15" hidden="false" customHeight="false" outlineLevel="0" collapsed="false">
      <c r="A20" s="10" t="s">
        <v>45</v>
      </c>
      <c r="B20" s="11" t="s">
        <v>43</v>
      </c>
      <c r="C20" s="6" t="n">
        <v>37.4</v>
      </c>
      <c r="D20" s="6" t="n">
        <v>36.9</v>
      </c>
      <c r="E20" s="6" t="n">
        <v>13.3</v>
      </c>
      <c r="F20" s="6" t="n">
        <v>10.5</v>
      </c>
      <c r="G20" s="6" t="n">
        <v>1.9</v>
      </c>
    </row>
    <row r="21" customFormat="false" ht="15" hidden="false" customHeight="false" outlineLevel="0" collapsed="false">
      <c r="A21" s="10" t="s">
        <v>46</v>
      </c>
      <c r="B21" s="11" t="s">
        <v>47</v>
      </c>
      <c r="C21" s="6" t="n">
        <v>15</v>
      </c>
      <c r="D21" s="6" t="n">
        <v>36</v>
      </c>
      <c r="E21" s="6" t="n">
        <v>17</v>
      </c>
      <c r="F21" s="6" t="n">
        <v>16.4</v>
      </c>
      <c r="G21" s="6" t="n">
        <v>15.6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6" t="n">
        <v>21</v>
      </c>
      <c r="D22" s="6" t="n">
        <v>41.7</v>
      </c>
      <c r="E22" s="6" t="n">
        <v>15.9</v>
      </c>
      <c r="F22" s="6" t="n">
        <v>11.2</v>
      </c>
      <c r="G22" s="6" t="n">
        <v>10.2</v>
      </c>
    </row>
    <row r="23" customFormat="false" ht="15" hidden="false" customHeight="false" outlineLevel="0" collapsed="false">
      <c r="A23" s="10" t="s">
        <v>49</v>
      </c>
      <c r="B23" s="11" t="s">
        <v>50</v>
      </c>
      <c r="C23" s="6" t="n">
        <v>19.9</v>
      </c>
      <c r="D23" s="6" t="n">
        <v>33.6</v>
      </c>
      <c r="E23" s="6" t="n">
        <v>17.6</v>
      </c>
      <c r="F23" s="6" t="n">
        <v>15.5</v>
      </c>
      <c r="G23" s="6" t="n">
        <v>13.4</v>
      </c>
    </row>
    <row r="24" customFormat="false" ht="15" hidden="false" customHeight="false" outlineLevel="0" collapsed="false">
      <c r="A24" s="10" t="s">
        <v>51</v>
      </c>
      <c r="B24" s="11" t="s">
        <v>50</v>
      </c>
      <c r="C24" s="6" t="n">
        <v>32.3</v>
      </c>
      <c r="D24" s="6" t="n">
        <v>31.3</v>
      </c>
      <c r="E24" s="6" t="n">
        <v>17.1</v>
      </c>
      <c r="F24" s="6" t="n">
        <v>15.7</v>
      </c>
      <c r="G24" s="6" t="n">
        <v>3.6</v>
      </c>
    </row>
    <row r="25" customFormat="false" ht="15" hidden="false" customHeight="false" outlineLevel="0" collapsed="false">
      <c r="A25" s="10" t="s">
        <v>52</v>
      </c>
      <c r="B25" s="11" t="s">
        <v>53</v>
      </c>
      <c r="C25" s="6" t="n">
        <v>11.1</v>
      </c>
      <c r="D25" s="6" t="n">
        <v>44.3</v>
      </c>
      <c r="E25" s="6" t="n">
        <v>22</v>
      </c>
      <c r="F25" s="6" t="n">
        <v>13.3</v>
      </c>
      <c r="G25" s="6" t="n">
        <v>9.3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6" t="n">
        <v>15.6</v>
      </c>
      <c r="D26" s="6" t="n">
        <v>45.1</v>
      </c>
      <c r="E26" s="6" t="n">
        <v>21.9</v>
      </c>
      <c r="F26" s="6" t="n">
        <v>10.1</v>
      </c>
      <c r="G26" s="6" t="n">
        <v>7.3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6" t="n">
        <v>19.3</v>
      </c>
      <c r="D27" s="6" t="n">
        <v>34.5</v>
      </c>
      <c r="E27" s="6" t="n">
        <v>16.1</v>
      </c>
      <c r="F27" s="6" t="n">
        <v>14.9</v>
      </c>
      <c r="G27" s="6" t="n">
        <v>15.2</v>
      </c>
    </row>
    <row r="28" customFormat="false" ht="15" hidden="false" customHeight="false" outlineLevel="0" collapsed="false">
      <c r="A28" s="10" t="s">
        <v>57</v>
      </c>
      <c r="B28" s="11" t="s">
        <v>56</v>
      </c>
      <c r="C28" s="6" t="n">
        <v>12.3</v>
      </c>
      <c r="D28" s="6" t="n">
        <v>37.5</v>
      </c>
      <c r="E28" s="6" t="n">
        <v>17.7</v>
      </c>
      <c r="F28" s="6" t="n">
        <v>18.3</v>
      </c>
      <c r="G28" s="6" t="n">
        <v>14.2</v>
      </c>
    </row>
    <row r="30" customFormat="false" ht="15" hidden="false" customHeight="false" outlineLevel="0" collapsed="false">
      <c r="A30" s="8" t="s">
        <v>66</v>
      </c>
    </row>
  </sheetData>
  <autoFilter ref="A3:G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9" min="6" style="0" width="10"/>
  </cols>
  <sheetData>
    <row r="1" customFormat="false" ht="15" hidden="false" customHeight="false" outlineLevel="0" collapsed="false">
      <c r="A1" s="9" t="s">
        <v>80</v>
      </c>
    </row>
    <row r="3" customFormat="false" ht="48" hidden="false" customHeight="true" outlineLevel="0" collapsed="false">
      <c r="A3" s="13" t="s">
        <v>0</v>
      </c>
      <c r="B3" s="13" t="s">
        <v>1</v>
      </c>
      <c r="C3" s="13" t="s">
        <v>81</v>
      </c>
      <c r="D3" s="13" t="s">
        <v>82</v>
      </c>
      <c r="E3" s="13" t="s">
        <v>83</v>
      </c>
      <c r="F3" s="13" t="s">
        <v>84</v>
      </c>
      <c r="G3" s="13" t="s">
        <v>85</v>
      </c>
      <c r="H3" s="13" t="s">
        <v>86</v>
      </c>
      <c r="I3" s="13" t="s">
        <v>87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6" t="n">
        <v>18.8</v>
      </c>
      <c r="D4" s="6" t="n">
        <v>3.2</v>
      </c>
      <c r="E4" s="6" t="n">
        <v>37.9</v>
      </c>
      <c r="F4" s="6" t="n">
        <v>23.7</v>
      </c>
      <c r="G4" s="6" t="n">
        <v>16</v>
      </c>
      <c r="H4" s="6" t="n">
        <v>0.2</v>
      </c>
      <c r="I4" s="6" t="n">
        <v>0.1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6" t="n">
        <v>20.7</v>
      </c>
      <c r="D5" s="6" t="n">
        <v>3.2</v>
      </c>
      <c r="E5" s="6" t="n">
        <v>25.3</v>
      </c>
      <c r="F5" s="6" t="n">
        <v>32.6</v>
      </c>
      <c r="G5" s="6" t="n">
        <v>15.8</v>
      </c>
      <c r="H5" s="6" t="n">
        <v>1.8</v>
      </c>
      <c r="I5" s="6" t="n">
        <v>0.6</v>
      </c>
    </row>
    <row r="6" customFormat="false" ht="15" hidden="false" customHeight="false" outlineLevel="0" collapsed="false">
      <c r="A6" s="10" t="s">
        <v>27</v>
      </c>
      <c r="B6" s="11" t="s">
        <v>25</v>
      </c>
      <c r="C6" s="6" t="n">
        <v>23.5</v>
      </c>
      <c r="D6" s="6" t="n">
        <v>3</v>
      </c>
      <c r="E6" s="6" t="n">
        <v>20.9</v>
      </c>
      <c r="F6" s="6" t="n">
        <v>27.7</v>
      </c>
      <c r="G6" s="6" t="n">
        <v>24.2</v>
      </c>
      <c r="H6" s="6" t="n">
        <v>0.1</v>
      </c>
      <c r="I6" s="6" t="n">
        <v>0.7</v>
      </c>
    </row>
    <row r="7" customFormat="false" ht="15" hidden="false" customHeight="false" outlineLevel="0" collapsed="false">
      <c r="A7" s="10" t="s">
        <v>28</v>
      </c>
      <c r="B7" s="11" t="s">
        <v>29</v>
      </c>
      <c r="C7" s="6" t="n">
        <v>36.4</v>
      </c>
      <c r="D7" s="6" t="n">
        <v>3</v>
      </c>
      <c r="E7" s="6" t="n">
        <v>15.8</v>
      </c>
      <c r="F7" s="6" t="n">
        <v>17.2</v>
      </c>
      <c r="G7" s="6" t="n">
        <v>26.8</v>
      </c>
      <c r="H7" s="6" t="n">
        <v>0.8</v>
      </c>
      <c r="I7" s="6" t="n">
        <v>0.1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6" t="n">
        <v>33.6</v>
      </c>
      <c r="D8" s="6" t="n">
        <v>6.1</v>
      </c>
      <c r="E8" s="6" t="n">
        <v>17.3</v>
      </c>
      <c r="F8" s="6" t="n">
        <v>14.5</v>
      </c>
      <c r="G8" s="6" t="n">
        <v>28.5</v>
      </c>
      <c r="H8" s="6"/>
      <c r="I8" s="6"/>
    </row>
    <row r="9" customFormat="false" ht="15" hidden="false" customHeight="false" outlineLevel="0" collapsed="false">
      <c r="A9" s="10" t="s">
        <v>31</v>
      </c>
      <c r="B9" s="11" t="s">
        <v>29</v>
      </c>
      <c r="C9" s="6" t="n">
        <v>54.9</v>
      </c>
      <c r="D9" s="6" t="n">
        <v>1.1</v>
      </c>
      <c r="E9" s="6" t="n">
        <v>3.4</v>
      </c>
      <c r="F9" s="6" t="n">
        <v>6</v>
      </c>
      <c r="G9" s="6" t="n">
        <v>34.6</v>
      </c>
      <c r="H9" s="6"/>
      <c r="I9" s="6"/>
    </row>
    <row r="10" customFormat="false" ht="15" hidden="false" customHeight="false" outlineLevel="0" collapsed="false">
      <c r="A10" s="10" t="s">
        <v>32</v>
      </c>
      <c r="B10" s="11" t="s">
        <v>33</v>
      </c>
      <c r="C10" s="6" t="n">
        <v>23.3</v>
      </c>
      <c r="D10" s="6" t="n">
        <v>5.6</v>
      </c>
      <c r="E10" s="6" t="n">
        <v>26.4</v>
      </c>
      <c r="F10" s="6" t="n">
        <v>19.8</v>
      </c>
      <c r="G10" s="6" t="n">
        <v>23.3</v>
      </c>
      <c r="H10" s="6" t="n">
        <v>1.1</v>
      </c>
      <c r="I10" s="6" t="n">
        <v>0.5</v>
      </c>
    </row>
    <row r="11" customFormat="false" ht="15" hidden="false" customHeight="false" outlineLevel="0" collapsed="false">
      <c r="A11" s="10" t="s">
        <v>34</v>
      </c>
      <c r="B11" s="11" t="s">
        <v>33</v>
      </c>
      <c r="C11" s="6" t="n">
        <v>24</v>
      </c>
      <c r="D11" s="6" t="n">
        <v>3.9</v>
      </c>
      <c r="E11" s="6" t="n">
        <v>24.1</v>
      </c>
      <c r="F11" s="6" t="n">
        <v>25</v>
      </c>
      <c r="G11" s="6" t="n">
        <v>22.9</v>
      </c>
      <c r="H11" s="6"/>
      <c r="I11" s="6" t="n">
        <v>0.1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6" t="n">
        <v>24.2</v>
      </c>
      <c r="D12" s="6" t="n">
        <v>6.9</v>
      </c>
      <c r="E12" s="6" t="n">
        <v>27.2</v>
      </c>
      <c r="F12" s="6" t="n">
        <v>17</v>
      </c>
      <c r="G12" s="6" t="n">
        <v>24.5</v>
      </c>
      <c r="H12" s="6"/>
      <c r="I12" s="6" t="n">
        <v>0.2</v>
      </c>
    </row>
    <row r="13" customFormat="false" ht="15" hidden="false" customHeight="false" outlineLevel="0" collapsed="false">
      <c r="A13" s="10" t="s">
        <v>36</v>
      </c>
      <c r="B13" s="11" t="s">
        <v>37</v>
      </c>
      <c r="C13" s="6" t="n">
        <v>22.1</v>
      </c>
      <c r="D13" s="6" t="n">
        <v>37.9</v>
      </c>
      <c r="E13" s="6" t="n">
        <v>25</v>
      </c>
      <c r="F13" s="6" t="n">
        <v>4.5</v>
      </c>
      <c r="G13" s="6" t="n">
        <v>10.3</v>
      </c>
      <c r="H13" s="6"/>
      <c r="I13" s="6" t="n">
        <v>0.2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6" t="n">
        <v>43.5</v>
      </c>
      <c r="D14" s="6" t="n">
        <v>20.1</v>
      </c>
      <c r="E14" s="6" t="n">
        <v>14.2</v>
      </c>
      <c r="F14" s="6" t="n">
        <v>0.3</v>
      </c>
      <c r="G14" s="6" t="n">
        <v>22</v>
      </c>
      <c r="H14" s="6"/>
      <c r="I14" s="6"/>
    </row>
    <row r="15" customFormat="false" ht="15" hidden="false" customHeight="false" outlineLevel="0" collapsed="false">
      <c r="A15" s="10" t="s">
        <v>39</v>
      </c>
      <c r="B15" s="11" t="s">
        <v>37</v>
      </c>
      <c r="C15" s="6" t="n">
        <v>28.4</v>
      </c>
      <c r="D15" s="6" t="n">
        <v>16.8</v>
      </c>
      <c r="E15" s="6" t="n">
        <v>35.1</v>
      </c>
      <c r="F15" s="6" t="n">
        <v>7.7</v>
      </c>
      <c r="G15" s="6" t="n">
        <v>12</v>
      </c>
      <c r="H15" s="6"/>
      <c r="I15" s="6"/>
    </row>
    <row r="16" customFormat="false" ht="15" hidden="false" customHeight="false" outlineLevel="0" collapsed="false">
      <c r="A16" s="10" t="s">
        <v>40</v>
      </c>
      <c r="B16" s="11" t="s">
        <v>37</v>
      </c>
      <c r="C16" s="6" t="n">
        <v>24.2</v>
      </c>
      <c r="D16" s="6" t="n">
        <v>53.6</v>
      </c>
      <c r="E16" s="6" t="n">
        <v>14.9</v>
      </c>
      <c r="F16" s="6" t="n">
        <v>0.4</v>
      </c>
      <c r="G16" s="6" t="n">
        <v>6.2</v>
      </c>
      <c r="H16" s="6"/>
      <c r="I16" s="6" t="n">
        <v>0.6</v>
      </c>
    </row>
    <row r="17" customFormat="false" ht="15" hidden="false" customHeight="false" outlineLevel="0" collapsed="false">
      <c r="A17" s="10" t="s">
        <v>41</v>
      </c>
      <c r="B17" s="11" t="s">
        <v>37</v>
      </c>
      <c r="C17" s="6" t="n">
        <v>25.2</v>
      </c>
      <c r="D17" s="6" t="n">
        <v>52.3</v>
      </c>
      <c r="E17" s="6" t="n">
        <v>20.3</v>
      </c>
      <c r="F17" s="6" t="n">
        <v>0.2</v>
      </c>
      <c r="G17" s="6" t="n">
        <v>2</v>
      </c>
      <c r="H17" s="6"/>
      <c r="I17" s="6"/>
    </row>
    <row r="18" customFormat="false" ht="15" hidden="false" customHeight="false" outlineLevel="0" collapsed="false">
      <c r="A18" s="10" t="s">
        <v>42</v>
      </c>
      <c r="B18" s="11" t="s">
        <v>43</v>
      </c>
      <c r="C18" s="6" t="n">
        <v>59.2</v>
      </c>
      <c r="D18" s="6" t="n">
        <v>20.5</v>
      </c>
      <c r="E18" s="6" t="n">
        <v>18.9</v>
      </c>
      <c r="F18" s="6" t="n">
        <v>0.2</v>
      </c>
      <c r="G18" s="6" t="n">
        <v>1</v>
      </c>
      <c r="H18" s="6"/>
      <c r="I18" s="6" t="n">
        <v>0.2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6" t="n">
        <v>42.7</v>
      </c>
      <c r="D19" s="6" t="n">
        <v>15.5</v>
      </c>
      <c r="E19" s="6" t="n">
        <v>23.8</v>
      </c>
      <c r="F19" s="6" t="n">
        <v>6.5</v>
      </c>
      <c r="G19" s="6" t="n">
        <v>11.5</v>
      </c>
      <c r="H19" s="6"/>
      <c r="I19" s="6"/>
    </row>
    <row r="20" customFormat="false" ht="15" hidden="false" customHeight="false" outlineLevel="0" collapsed="false">
      <c r="A20" s="10" t="s">
        <v>45</v>
      </c>
      <c r="B20" s="11" t="s">
        <v>43</v>
      </c>
      <c r="C20" s="6" t="n">
        <v>47.5</v>
      </c>
      <c r="D20" s="6" t="n">
        <v>24.3</v>
      </c>
      <c r="E20" s="6" t="n">
        <v>17.1</v>
      </c>
      <c r="F20" s="6" t="n">
        <v>4</v>
      </c>
      <c r="G20" s="6" t="n">
        <v>7.1</v>
      </c>
      <c r="H20" s="6"/>
      <c r="I20" s="6"/>
    </row>
    <row r="21" customFormat="false" ht="15" hidden="false" customHeight="false" outlineLevel="0" collapsed="false">
      <c r="A21" s="10" t="s">
        <v>46</v>
      </c>
      <c r="B21" s="11" t="s">
        <v>47</v>
      </c>
      <c r="C21" s="6" t="n">
        <v>16.8</v>
      </c>
      <c r="D21" s="6" t="n">
        <v>12.2</v>
      </c>
      <c r="E21" s="6" t="n">
        <v>30.9</v>
      </c>
      <c r="F21" s="6" t="n">
        <v>17.9</v>
      </c>
      <c r="G21" s="6" t="n">
        <v>21.2</v>
      </c>
      <c r="H21" s="6" t="n">
        <v>0.1</v>
      </c>
      <c r="I21" s="6" t="n">
        <v>0.9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6" t="n">
        <v>22.3</v>
      </c>
      <c r="D22" s="6" t="n">
        <v>18.3</v>
      </c>
      <c r="E22" s="6" t="n">
        <v>33.7</v>
      </c>
      <c r="F22" s="6" t="n">
        <v>13.1</v>
      </c>
      <c r="G22" s="6" t="n">
        <v>12.6</v>
      </c>
      <c r="H22" s="6"/>
      <c r="I22" s="6"/>
    </row>
    <row r="23" customFormat="false" ht="15" hidden="false" customHeight="false" outlineLevel="0" collapsed="false">
      <c r="A23" s="10" t="s">
        <v>49</v>
      </c>
      <c r="B23" s="11" t="s">
        <v>50</v>
      </c>
      <c r="C23" s="6" t="n">
        <v>18</v>
      </c>
      <c r="D23" s="6" t="n">
        <v>20.7</v>
      </c>
      <c r="E23" s="6" t="n">
        <v>29.7</v>
      </c>
      <c r="F23" s="6" t="n">
        <v>12.3</v>
      </c>
      <c r="G23" s="6" t="n">
        <v>18.9</v>
      </c>
      <c r="H23" s="6"/>
      <c r="I23" s="6" t="n">
        <v>0.4</v>
      </c>
    </row>
    <row r="24" customFormat="false" ht="15" hidden="false" customHeight="false" outlineLevel="0" collapsed="false">
      <c r="A24" s="10" t="s">
        <v>51</v>
      </c>
      <c r="B24" s="11" t="s">
        <v>50</v>
      </c>
      <c r="C24" s="6" t="n">
        <v>37.3</v>
      </c>
      <c r="D24" s="6" t="n">
        <v>14.4</v>
      </c>
      <c r="E24" s="6" t="n">
        <v>21.1</v>
      </c>
      <c r="F24" s="6" t="n">
        <v>4.6</v>
      </c>
      <c r="G24" s="6" t="n">
        <v>21.1</v>
      </c>
      <c r="H24" s="6"/>
      <c r="I24" s="6" t="n">
        <v>1.5</v>
      </c>
    </row>
    <row r="25" customFormat="false" ht="15" hidden="false" customHeight="false" outlineLevel="0" collapsed="false">
      <c r="A25" s="10" t="s">
        <v>52</v>
      </c>
      <c r="B25" s="11" t="s">
        <v>53</v>
      </c>
      <c r="C25" s="6" t="n">
        <v>45.2</v>
      </c>
      <c r="D25" s="6" t="n">
        <v>4.2</v>
      </c>
      <c r="E25" s="6" t="n">
        <v>9.6</v>
      </c>
      <c r="F25" s="6" t="n">
        <v>10.7</v>
      </c>
      <c r="G25" s="6" t="n">
        <v>29.7</v>
      </c>
      <c r="H25" s="6" t="n">
        <v>0.4</v>
      </c>
      <c r="I25" s="6" t="n">
        <v>0.2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6" t="n">
        <v>32.7</v>
      </c>
      <c r="D26" s="6" t="n">
        <v>7.7</v>
      </c>
      <c r="E26" s="6" t="n">
        <v>21</v>
      </c>
      <c r="F26" s="6" t="n">
        <v>16.3</v>
      </c>
      <c r="G26" s="6" t="n">
        <v>27.5</v>
      </c>
      <c r="H26" s="6"/>
      <c r="I26" s="6" t="n">
        <v>0.4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6" t="n">
        <v>32.2</v>
      </c>
      <c r="D27" s="6" t="n">
        <v>1.2</v>
      </c>
      <c r="E27" s="6" t="n">
        <v>17.4</v>
      </c>
      <c r="F27" s="6" t="n">
        <v>16.3</v>
      </c>
      <c r="G27" s="6" t="n">
        <v>32.9</v>
      </c>
      <c r="H27" s="6"/>
      <c r="I27" s="6"/>
    </row>
    <row r="28" customFormat="false" ht="15" hidden="false" customHeight="false" outlineLevel="0" collapsed="false">
      <c r="A28" s="10" t="s">
        <v>57</v>
      </c>
      <c r="B28" s="11" t="s">
        <v>56</v>
      </c>
      <c r="C28" s="6" t="n">
        <v>27.6</v>
      </c>
      <c r="D28" s="6" t="n">
        <v>1.2</v>
      </c>
      <c r="E28" s="6" t="n">
        <v>17.2</v>
      </c>
      <c r="F28" s="6" t="n">
        <v>31</v>
      </c>
      <c r="G28" s="6" t="n">
        <v>23</v>
      </c>
      <c r="H28" s="6"/>
      <c r="I28" s="6"/>
    </row>
    <row r="30" customFormat="false" ht="15" hidden="false" customHeight="false" outlineLevel="0" collapsed="false">
      <c r="A30" s="8" t="s">
        <v>66</v>
      </c>
    </row>
  </sheetData>
  <autoFilter ref="A3:I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4" min="10" style="0" width="10"/>
  </cols>
  <sheetData>
    <row r="1" customFormat="false" ht="15" hidden="false" customHeight="false" outlineLevel="0" collapsed="false">
      <c r="A1" s="9" t="s">
        <v>88</v>
      </c>
    </row>
    <row r="3" customFormat="false" ht="48" hidden="false" customHeight="true" outlineLevel="0" collapsed="false">
      <c r="A3" s="14" t="s">
        <v>0</v>
      </c>
      <c r="B3" s="14" t="s">
        <v>1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  <c r="K3" s="14" t="s">
        <v>97</v>
      </c>
      <c r="L3" s="14" t="s">
        <v>98</v>
      </c>
      <c r="M3" s="14" t="s">
        <v>99</v>
      </c>
      <c r="N3" s="14" t="s">
        <v>100</v>
      </c>
    </row>
    <row r="4" customFormat="false" ht="15" hidden="false" customHeight="false" outlineLevel="0" collapsed="false">
      <c r="A4" s="10" t="s">
        <v>24</v>
      </c>
      <c r="B4" s="11" t="s">
        <v>25</v>
      </c>
      <c r="C4" s="7" t="n">
        <v>391</v>
      </c>
      <c r="D4" s="7" t="n">
        <v>39</v>
      </c>
      <c r="E4" s="5" t="n">
        <f aca="false">C4-D4</f>
        <v>352</v>
      </c>
      <c r="F4" s="7" t="n">
        <v>305506</v>
      </c>
      <c r="G4" s="7" t="n">
        <v>117955</v>
      </c>
      <c r="H4" s="5" t="n">
        <f aca="false">F4-G4</f>
        <v>187551</v>
      </c>
      <c r="I4" s="4" t="n">
        <f aca="false">G4/F4*100</f>
        <v>38.60971633945</v>
      </c>
      <c r="J4" s="7" t="n">
        <v>17078</v>
      </c>
      <c r="K4" s="7" t="n">
        <v>5682</v>
      </c>
      <c r="L4" s="5" t="n">
        <f aca="false">J4-K4</f>
        <v>11396</v>
      </c>
      <c r="M4" s="4" t="n">
        <f aca="false">F4/J4</f>
        <v>17.888862864504</v>
      </c>
      <c r="N4" s="15" t="n">
        <f aca="false">F4/C4</f>
        <v>781.3452685422</v>
      </c>
    </row>
    <row r="5" customFormat="false" ht="15" hidden="false" customHeight="false" outlineLevel="0" collapsed="false">
      <c r="A5" s="10" t="s">
        <v>26</v>
      </c>
      <c r="B5" s="11" t="s">
        <v>25</v>
      </c>
      <c r="C5" s="7" t="n">
        <v>533</v>
      </c>
      <c r="D5" s="7" t="n">
        <v>20</v>
      </c>
      <c r="E5" s="5" t="n">
        <f aca="false">C5-D5</f>
        <v>513</v>
      </c>
      <c r="F5" s="7" t="n">
        <v>297307</v>
      </c>
      <c r="G5" s="7" t="n">
        <v>52069</v>
      </c>
      <c r="H5" s="5" t="n">
        <f aca="false">F5-G5</f>
        <v>245238</v>
      </c>
      <c r="I5" s="4" t="n">
        <f aca="false">G5/F5*100</f>
        <v>17.5135466033427</v>
      </c>
      <c r="J5" s="7" t="n">
        <v>16585</v>
      </c>
      <c r="K5" s="7" t="n">
        <v>2684</v>
      </c>
      <c r="L5" s="5" t="n">
        <f aca="false">J5-K5</f>
        <v>13901</v>
      </c>
      <c r="M5" s="4" t="n">
        <f aca="false">F5/J5</f>
        <v>17.9262586674706</v>
      </c>
      <c r="N5" s="15" t="n">
        <f aca="false">F5/C5</f>
        <v>557.799249530957</v>
      </c>
    </row>
    <row r="6" customFormat="false" ht="15" hidden="false" customHeight="false" outlineLevel="0" collapsed="false">
      <c r="A6" s="10" t="s">
        <v>27</v>
      </c>
      <c r="B6" s="11" t="s">
        <v>25</v>
      </c>
      <c r="C6" s="7" t="n">
        <v>414</v>
      </c>
      <c r="D6" s="7" t="n">
        <v>20</v>
      </c>
      <c r="E6" s="5" t="n">
        <f aca="false">C6-D6</f>
        <v>394</v>
      </c>
      <c r="F6" s="7" t="n">
        <v>201108</v>
      </c>
      <c r="G6" s="7" t="n">
        <v>49404</v>
      </c>
      <c r="H6" s="5" t="n">
        <f aca="false">F6-G6</f>
        <v>151704</v>
      </c>
      <c r="I6" s="4" t="n">
        <f aca="false">G6/F6*100</f>
        <v>24.5659048869264</v>
      </c>
      <c r="J6" s="7" t="n">
        <v>11655</v>
      </c>
      <c r="K6" s="7" t="n">
        <v>2317</v>
      </c>
      <c r="L6" s="5" t="n">
        <f aca="false">J6-K6</f>
        <v>9338</v>
      </c>
      <c r="M6" s="4" t="n">
        <f aca="false">F6/J6</f>
        <v>17.2550836550837</v>
      </c>
      <c r="N6" s="15" t="n">
        <f aca="false">F6/C6</f>
        <v>485.768115942029</v>
      </c>
    </row>
    <row r="7" customFormat="false" ht="15" hidden="false" customHeight="false" outlineLevel="0" collapsed="false">
      <c r="A7" s="10" t="s">
        <v>28</v>
      </c>
      <c r="B7" s="11" t="s">
        <v>29</v>
      </c>
      <c r="C7" s="7" t="n">
        <v>647</v>
      </c>
      <c r="D7" s="7" t="n">
        <v>36</v>
      </c>
      <c r="E7" s="5" t="n">
        <f aca="false">C7-D7</f>
        <v>611</v>
      </c>
      <c r="F7" s="7" t="n">
        <v>252916</v>
      </c>
      <c r="G7" s="7" t="n">
        <v>58059</v>
      </c>
      <c r="H7" s="5" t="n">
        <f aca="false">F7-G7</f>
        <v>194857</v>
      </c>
      <c r="I7" s="4" t="n">
        <f aca="false">G7/F7*100</f>
        <v>22.9558430467033</v>
      </c>
      <c r="J7" s="7" t="n">
        <v>16709</v>
      </c>
      <c r="K7" s="7" t="n">
        <v>3217</v>
      </c>
      <c r="L7" s="5" t="n">
        <f aca="false">J7-K7</f>
        <v>13492</v>
      </c>
      <c r="M7" s="4" t="n">
        <f aca="false">F7/J7</f>
        <v>15.1365132563289</v>
      </c>
      <c r="N7" s="15" t="n">
        <f aca="false">F7/C7</f>
        <v>390.9057187017</v>
      </c>
    </row>
    <row r="8" customFormat="false" ht="15" hidden="false" customHeight="false" outlineLevel="0" collapsed="false">
      <c r="A8" s="10" t="s">
        <v>30</v>
      </c>
      <c r="B8" s="11" t="s">
        <v>29</v>
      </c>
      <c r="C8" s="7" t="n">
        <v>310</v>
      </c>
      <c r="D8" s="7" t="n">
        <v>12</v>
      </c>
      <c r="E8" s="5" t="n">
        <f aca="false">C8-D8</f>
        <v>298</v>
      </c>
      <c r="F8" s="7" t="n">
        <v>96813</v>
      </c>
      <c r="G8" s="7" t="n">
        <v>22569</v>
      </c>
      <c r="H8" s="5" t="n">
        <f aca="false">F8-G8</f>
        <v>74244</v>
      </c>
      <c r="I8" s="4" t="n">
        <f aca="false">G8/F8*100</f>
        <v>23.3119519072852</v>
      </c>
      <c r="J8" s="7" t="n">
        <v>6477</v>
      </c>
      <c r="K8" s="7" t="n">
        <v>1210</v>
      </c>
      <c r="L8" s="5" t="n">
        <f aca="false">J8-K8</f>
        <v>5267</v>
      </c>
      <c r="M8" s="4" t="n">
        <f aca="false">F8/J8</f>
        <v>14.9471977767485</v>
      </c>
      <c r="N8" s="15" t="n">
        <f aca="false">F8/C8</f>
        <v>312.3</v>
      </c>
    </row>
    <row r="9" customFormat="false" ht="15" hidden="false" customHeight="false" outlineLevel="0" collapsed="false">
      <c r="A9" s="10" t="s">
        <v>31</v>
      </c>
      <c r="B9" s="11" t="s">
        <v>29</v>
      </c>
      <c r="C9" s="7" t="n">
        <v>550</v>
      </c>
      <c r="D9" s="7" t="n">
        <v>8</v>
      </c>
      <c r="E9" s="5" t="n">
        <f aca="false">C9-D9</f>
        <v>542</v>
      </c>
      <c r="F9" s="7" t="n">
        <v>143271</v>
      </c>
      <c r="G9" s="7" t="n">
        <v>9039</v>
      </c>
      <c r="H9" s="5" t="n">
        <f aca="false">F9-G9</f>
        <v>134232</v>
      </c>
      <c r="I9" s="4" t="n">
        <f aca="false">G9/F9*100</f>
        <v>6.30902276106121</v>
      </c>
      <c r="J9" s="7" t="n">
        <v>9874</v>
      </c>
      <c r="K9" s="7" t="n">
        <v>542</v>
      </c>
      <c r="L9" s="5" t="n">
        <f aca="false">J9-K9</f>
        <v>9332</v>
      </c>
      <c r="M9" s="4" t="n">
        <f aca="false">F9/J9</f>
        <v>14.5099250557018</v>
      </c>
      <c r="N9" s="15" t="n">
        <f aca="false">F9/C9</f>
        <v>260.492727272727</v>
      </c>
    </row>
    <row r="10" customFormat="false" ht="15" hidden="false" customHeight="false" outlineLevel="0" collapsed="false">
      <c r="A10" s="10" t="s">
        <v>32</v>
      </c>
      <c r="B10" s="11" t="s">
        <v>33</v>
      </c>
      <c r="C10" s="7" t="n">
        <v>422</v>
      </c>
      <c r="D10" s="7" t="n">
        <v>30</v>
      </c>
      <c r="E10" s="5" t="n">
        <f aca="false">C10-D10</f>
        <v>392</v>
      </c>
      <c r="F10" s="7" t="n">
        <v>198627</v>
      </c>
      <c r="G10" s="7" t="n">
        <v>75405</v>
      </c>
      <c r="H10" s="5" t="n">
        <f aca="false">F10-G10</f>
        <v>123222</v>
      </c>
      <c r="I10" s="4" t="n">
        <f aca="false">G10/F10*100</f>
        <v>37.9631167968101</v>
      </c>
      <c r="J10" s="7" t="n">
        <v>12032</v>
      </c>
      <c r="K10" s="7" t="n">
        <v>3350</v>
      </c>
      <c r="L10" s="5" t="n">
        <f aca="false">J10-K10</f>
        <v>8682</v>
      </c>
      <c r="M10" s="4" t="n">
        <f aca="false">F10/J10</f>
        <v>16.5082280585106</v>
      </c>
      <c r="N10" s="15" t="n">
        <f aca="false">F10/C10</f>
        <v>470.68009478673</v>
      </c>
    </row>
    <row r="11" customFormat="false" ht="15" hidden="false" customHeight="false" outlineLevel="0" collapsed="false">
      <c r="A11" s="10" t="s">
        <v>34</v>
      </c>
      <c r="B11" s="11" t="s">
        <v>33</v>
      </c>
      <c r="C11" s="7" t="n">
        <v>353</v>
      </c>
      <c r="D11" s="7" t="n">
        <v>23</v>
      </c>
      <c r="E11" s="5" t="n">
        <f aca="false">C11-D11</f>
        <v>330</v>
      </c>
      <c r="F11" s="7" t="n">
        <v>150260</v>
      </c>
      <c r="G11" s="7" t="n">
        <v>49952</v>
      </c>
      <c r="H11" s="5" t="n">
        <f aca="false">F11-G11</f>
        <v>100308</v>
      </c>
      <c r="I11" s="4" t="n">
        <f aca="false">G11/F11*100</f>
        <v>33.2437109011048</v>
      </c>
      <c r="J11" s="7" t="n">
        <v>10293</v>
      </c>
      <c r="K11" s="7" t="n">
        <v>2494</v>
      </c>
      <c r="L11" s="5" t="n">
        <f aca="false">J11-K11</f>
        <v>7799</v>
      </c>
      <c r="M11" s="4" t="n">
        <f aca="false">F11/J11</f>
        <v>14.598270669387</v>
      </c>
      <c r="N11" s="15" t="n">
        <f aca="false">F11/C11</f>
        <v>425.665722379603</v>
      </c>
    </row>
    <row r="12" customFormat="false" ht="15" hidden="false" customHeight="false" outlineLevel="0" collapsed="false">
      <c r="A12" s="10" t="s">
        <v>35</v>
      </c>
      <c r="B12" s="11" t="s">
        <v>33</v>
      </c>
      <c r="C12" s="7" t="n">
        <v>318</v>
      </c>
      <c r="D12" s="7" t="n">
        <v>17</v>
      </c>
      <c r="E12" s="5" t="n">
        <f aca="false">C12-D12</f>
        <v>301</v>
      </c>
      <c r="F12" s="7" t="n">
        <v>134500</v>
      </c>
      <c r="G12" s="7" t="n">
        <v>33739</v>
      </c>
      <c r="H12" s="5" t="n">
        <f aca="false">F12-G12</f>
        <v>100761</v>
      </c>
      <c r="I12" s="4" t="n">
        <f aca="false">G12/F12*100</f>
        <v>25.0847583643123</v>
      </c>
      <c r="J12" s="7" t="n">
        <v>8397</v>
      </c>
      <c r="K12" s="7" t="n">
        <v>1588</v>
      </c>
      <c r="L12" s="5" t="n">
        <f aca="false">J12-K12</f>
        <v>6809</v>
      </c>
      <c r="M12" s="4" t="n">
        <f aca="false">F12/J12</f>
        <v>16.0176253423842</v>
      </c>
      <c r="N12" s="15" t="n">
        <f aca="false">F12/C12</f>
        <v>422.955974842767</v>
      </c>
    </row>
    <row r="13" customFormat="false" ht="15" hidden="false" customHeight="false" outlineLevel="0" collapsed="false">
      <c r="A13" s="10" t="s">
        <v>36</v>
      </c>
      <c r="B13" s="11" t="s">
        <v>37</v>
      </c>
      <c r="C13" s="7" t="n">
        <v>438</v>
      </c>
      <c r="D13" s="7" t="n">
        <v>8</v>
      </c>
      <c r="E13" s="5" t="n">
        <f aca="false">C13-D13</f>
        <v>430</v>
      </c>
      <c r="F13" s="7" t="n">
        <v>93167</v>
      </c>
      <c r="G13" s="7" t="n">
        <v>13641</v>
      </c>
      <c r="H13" s="5" t="n">
        <f aca="false">F13-G13</f>
        <v>79526</v>
      </c>
      <c r="I13" s="4" t="n">
        <f aca="false">G13/F13*100</f>
        <v>14.6414502989256</v>
      </c>
      <c r="J13" s="7" t="n">
        <v>8688</v>
      </c>
      <c r="K13" s="7" t="n">
        <v>941</v>
      </c>
      <c r="L13" s="5" t="n">
        <f aca="false">J13-K13</f>
        <v>7747</v>
      </c>
      <c r="M13" s="4" t="n">
        <f aca="false">F13/J13</f>
        <v>10.7236418047882</v>
      </c>
      <c r="N13" s="15" t="n">
        <f aca="false">F13/C13</f>
        <v>212.7100456621</v>
      </c>
    </row>
    <row r="14" customFormat="false" ht="15" hidden="false" customHeight="false" outlineLevel="0" collapsed="false">
      <c r="A14" s="10" t="s">
        <v>38</v>
      </c>
      <c r="B14" s="11" t="s">
        <v>37</v>
      </c>
      <c r="C14" s="7" t="n">
        <v>132</v>
      </c>
      <c r="D14" s="7" t="n">
        <v>5</v>
      </c>
      <c r="E14" s="5" t="n">
        <f aca="false">C14-D14</f>
        <v>127</v>
      </c>
      <c r="F14" s="7" t="n">
        <v>24958</v>
      </c>
      <c r="G14" s="7" t="n">
        <v>5243</v>
      </c>
      <c r="H14" s="5" t="n">
        <f aca="false">F14-G14</f>
        <v>19715</v>
      </c>
      <c r="I14" s="4" t="n">
        <f aca="false">G14/F14*100</f>
        <v>21.0072922509817</v>
      </c>
      <c r="J14" s="7" t="n">
        <v>2343</v>
      </c>
      <c r="K14" s="7" t="n">
        <v>418</v>
      </c>
      <c r="L14" s="5" t="n">
        <f aca="false">J14-K14</f>
        <v>1925</v>
      </c>
      <c r="M14" s="4" t="n">
        <f aca="false">F14/J14</f>
        <v>10.6521553563807</v>
      </c>
      <c r="N14" s="15" t="n">
        <f aca="false">F14/C14</f>
        <v>189.075757575758</v>
      </c>
    </row>
    <row r="15" customFormat="false" ht="15" hidden="false" customHeight="false" outlineLevel="0" collapsed="false">
      <c r="A15" s="10" t="s">
        <v>39</v>
      </c>
      <c r="B15" s="11" t="s">
        <v>37</v>
      </c>
      <c r="C15" s="7" t="n">
        <v>166</v>
      </c>
      <c r="D15" s="7" t="n">
        <v>5</v>
      </c>
      <c r="E15" s="5" t="n">
        <f aca="false">C15-D15</f>
        <v>161</v>
      </c>
      <c r="F15" s="7" t="n">
        <v>33461</v>
      </c>
      <c r="G15" s="7" t="n">
        <v>6664</v>
      </c>
      <c r="H15" s="5" t="n">
        <f aca="false">F15-G15</f>
        <v>26797</v>
      </c>
      <c r="I15" s="4" t="n">
        <f aca="false">G15/F15*100</f>
        <v>19.9157227817459</v>
      </c>
      <c r="J15" s="7" t="n">
        <v>2825</v>
      </c>
      <c r="K15" s="7" t="n">
        <v>434</v>
      </c>
      <c r="L15" s="5" t="n">
        <f aca="false">J15-K15</f>
        <v>2391</v>
      </c>
      <c r="M15" s="4" t="n">
        <f aca="false">F15/J15</f>
        <v>11.8446017699115</v>
      </c>
      <c r="N15" s="15" t="n">
        <f aca="false">F15/C15</f>
        <v>201.572289156627</v>
      </c>
    </row>
    <row r="16" customFormat="false" ht="15" hidden="false" customHeight="false" outlineLevel="0" collapsed="false">
      <c r="A16" s="10" t="s">
        <v>40</v>
      </c>
      <c r="B16" s="11" t="s">
        <v>37</v>
      </c>
      <c r="C16" s="7" t="n">
        <v>124</v>
      </c>
      <c r="D16" s="7" t="n">
        <v>3</v>
      </c>
      <c r="E16" s="5" t="n">
        <f aca="false">C16-D16</f>
        <v>121</v>
      </c>
      <c r="F16" s="7" t="n">
        <v>23965</v>
      </c>
      <c r="G16" s="7" t="n">
        <v>2282</v>
      </c>
      <c r="H16" s="5" t="n">
        <f aca="false">F16-G16</f>
        <v>21683</v>
      </c>
      <c r="I16" s="4" t="n">
        <f aca="false">G16/F16*100</f>
        <v>9.52221990402671</v>
      </c>
      <c r="J16" s="7" t="n">
        <v>2112</v>
      </c>
      <c r="K16" s="7" t="n">
        <v>171</v>
      </c>
      <c r="L16" s="5" t="n">
        <f aca="false">J16-K16</f>
        <v>1941</v>
      </c>
      <c r="M16" s="4" t="n">
        <f aca="false">F16/J16</f>
        <v>11.3470643939394</v>
      </c>
      <c r="N16" s="15" t="n">
        <f aca="false">F16/C16</f>
        <v>193.266129032258</v>
      </c>
    </row>
    <row r="17" customFormat="false" ht="15" hidden="false" customHeight="false" outlineLevel="0" collapsed="false">
      <c r="A17" s="10" t="s">
        <v>41</v>
      </c>
      <c r="B17" s="11" t="s">
        <v>37</v>
      </c>
      <c r="C17" s="7" t="n">
        <v>104</v>
      </c>
      <c r="D17" s="7" t="n">
        <v>3</v>
      </c>
      <c r="E17" s="5" t="n">
        <f aca="false">C17-D17</f>
        <v>101</v>
      </c>
      <c r="F17" s="7" t="n">
        <v>25934</v>
      </c>
      <c r="G17" s="7" t="n">
        <v>2841</v>
      </c>
      <c r="H17" s="5" t="n">
        <f aca="false">F17-G17</f>
        <v>23093</v>
      </c>
      <c r="I17" s="4" t="n">
        <f aca="false">G17/F17*100</f>
        <v>10.9547312408421</v>
      </c>
      <c r="J17" s="7" t="n">
        <v>2140</v>
      </c>
      <c r="K17" s="7" t="n">
        <v>230</v>
      </c>
      <c r="L17" s="5" t="n">
        <f aca="false">J17-K17</f>
        <v>1910</v>
      </c>
      <c r="M17" s="4" t="n">
        <f aca="false">F17/J17</f>
        <v>12.118691588785</v>
      </c>
      <c r="N17" s="15" t="n">
        <f aca="false">F17/C17</f>
        <v>249.365384615385</v>
      </c>
    </row>
    <row r="18" customFormat="false" ht="15" hidden="false" customHeight="false" outlineLevel="0" collapsed="false">
      <c r="A18" s="10" t="s">
        <v>42</v>
      </c>
      <c r="B18" s="11" t="s">
        <v>43</v>
      </c>
      <c r="C18" s="7" t="n">
        <v>368</v>
      </c>
      <c r="D18" s="7" t="n">
        <v>13</v>
      </c>
      <c r="E18" s="5" t="n">
        <f aca="false">C18-D18</f>
        <v>355</v>
      </c>
      <c r="F18" s="7" t="n">
        <v>117172</v>
      </c>
      <c r="G18" s="7" t="n">
        <v>20330</v>
      </c>
      <c r="H18" s="5" t="n">
        <f aca="false">F18-G18</f>
        <v>96842</v>
      </c>
      <c r="I18" s="4" t="n">
        <f aca="false">G18/F18*100</f>
        <v>17.35056156761</v>
      </c>
      <c r="J18" s="7" t="n">
        <v>7327</v>
      </c>
      <c r="K18" s="7" t="n">
        <v>1246</v>
      </c>
      <c r="L18" s="5" t="n">
        <f aca="false">J18-K18</f>
        <v>6081</v>
      </c>
      <c r="M18" s="4" t="n">
        <f aca="false">F18/J18</f>
        <v>15.9918111095947</v>
      </c>
      <c r="N18" s="15" t="n">
        <f aca="false">F18/C18</f>
        <v>318.402173913044</v>
      </c>
    </row>
    <row r="19" customFormat="false" ht="15" hidden="false" customHeight="false" outlineLevel="0" collapsed="false">
      <c r="A19" s="10" t="s">
        <v>44</v>
      </c>
      <c r="B19" s="11" t="s">
        <v>43</v>
      </c>
      <c r="C19" s="7" t="n">
        <v>444</v>
      </c>
      <c r="D19" s="7" t="n">
        <v>17</v>
      </c>
      <c r="E19" s="5" t="n">
        <f aca="false">C19-D19</f>
        <v>427</v>
      </c>
      <c r="F19" s="7" t="n">
        <v>157205</v>
      </c>
      <c r="G19" s="7" t="n">
        <v>29427</v>
      </c>
      <c r="H19" s="5" t="n">
        <f aca="false">F19-G19</f>
        <v>127778</v>
      </c>
      <c r="I19" s="4" t="n">
        <f aca="false">G19/F19*100</f>
        <v>18.7188702649407</v>
      </c>
      <c r="J19" s="7" t="n">
        <v>10248</v>
      </c>
      <c r="K19" s="7" t="n">
        <v>1817</v>
      </c>
      <c r="L19" s="5" t="n">
        <f aca="false">J19-K19</f>
        <v>8431</v>
      </c>
      <c r="M19" s="4" t="n">
        <f aca="false">F19/J19</f>
        <v>15.3400663544106</v>
      </c>
      <c r="N19" s="15" t="n">
        <f aca="false">F19/C19</f>
        <v>354.065315315315</v>
      </c>
    </row>
    <row r="20" customFormat="false" ht="15" hidden="false" customHeight="false" outlineLevel="0" collapsed="false">
      <c r="A20" s="10" t="s">
        <v>45</v>
      </c>
      <c r="B20" s="11" t="s">
        <v>43</v>
      </c>
      <c r="C20" s="7" t="n">
        <v>317</v>
      </c>
      <c r="D20" s="7" t="n">
        <v>12</v>
      </c>
      <c r="E20" s="5" t="n">
        <f aca="false">C20-D20</f>
        <v>305</v>
      </c>
      <c r="F20" s="7" t="n">
        <v>93481</v>
      </c>
      <c r="G20" s="7" t="n">
        <v>18384</v>
      </c>
      <c r="H20" s="5" t="n">
        <f aca="false">F20-G20</f>
        <v>75097</v>
      </c>
      <c r="I20" s="4" t="n">
        <f aca="false">G20/F20*100</f>
        <v>19.666028390796</v>
      </c>
      <c r="J20" s="7" t="n">
        <v>5628</v>
      </c>
      <c r="K20" s="7" t="n">
        <v>1009</v>
      </c>
      <c r="L20" s="5" t="n">
        <f aca="false">J20-K20</f>
        <v>4619</v>
      </c>
      <c r="M20" s="4" t="n">
        <f aca="false">F20/J20</f>
        <v>16.6099857853589</v>
      </c>
      <c r="N20" s="15" t="n">
        <f aca="false">F20/C20</f>
        <v>294.892744479495</v>
      </c>
    </row>
    <row r="21" customFormat="false" ht="15" hidden="false" customHeight="false" outlineLevel="0" collapsed="false">
      <c r="A21" s="10" t="s">
        <v>46</v>
      </c>
      <c r="B21" s="11" t="s">
        <v>47</v>
      </c>
      <c r="C21" s="7" t="n">
        <v>868</v>
      </c>
      <c r="D21" s="7" t="n">
        <v>31</v>
      </c>
      <c r="E21" s="5" t="n">
        <f aca="false">C21-D21</f>
        <v>837</v>
      </c>
      <c r="F21" s="7" t="n">
        <v>315282</v>
      </c>
      <c r="G21" s="7" t="n">
        <v>65841</v>
      </c>
      <c r="H21" s="5" t="n">
        <f aca="false">F21-G21</f>
        <v>249441</v>
      </c>
      <c r="I21" s="4" t="n">
        <f aca="false">G21/F21*100</f>
        <v>20.883209317373</v>
      </c>
      <c r="J21" s="7" t="n">
        <v>20713</v>
      </c>
      <c r="K21" s="7" t="n">
        <v>3501</v>
      </c>
      <c r="L21" s="5" t="n">
        <f aca="false">J21-K21</f>
        <v>17212</v>
      </c>
      <c r="M21" s="4" t="n">
        <f aca="false">F21/J21</f>
        <v>15.2214551248009</v>
      </c>
      <c r="N21" s="15" t="n">
        <f aca="false">F21/C21</f>
        <v>363.228110599078</v>
      </c>
    </row>
    <row r="22" customFormat="false" ht="15" hidden="false" customHeight="false" outlineLevel="0" collapsed="false">
      <c r="A22" s="10" t="s">
        <v>48</v>
      </c>
      <c r="B22" s="11" t="s">
        <v>47</v>
      </c>
      <c r="C22" s="7" t="n">
        <v>371</v>
      </c>
      <c r="D22" s="7" t="n">
        <v>8</v>
      </c>
      <c r="E22" s="5" t="n">
        <f aca="false">C22-D22</f>
        <v>363</v>
      </c>
      <c r="F22" s="7" t="n">
        <v>154385</v>
      </c>
      <c r="G22" s="7" t="n">
        <v>18377</v>
      </c>
      <c r="H22" s="5" t="n">
        <f aca="false">F22-G22</f>
        <v>136008</v>
      </c>
      <c r="I22" s="4" t="n">
        <f aca="false">G22/F22*100</f>
        <v>11.9033584868996</v>
      </c>
      <c r="J22" s="7" t="n">
        <v>9288</v>
      </c>
      <c r="K22" s="7" t="n">
        <v>904</v>
      </c>
      <c r="L22" s="5" t="n">
        <f aca="false">J22-K22</f>
        <v>8384</v>
      </c>
      <c r="M22" s="4" t="n">
        <f aca="false">F22/J22</f>
        <v>16.6219853574505</v>
      </c>
      <c r="N22" s="15" t="n">
        <f aca="false">F22/C22</f>
        <v>416.132075471698</v>
      </c>
    </row>
    <row r="23" customFormat="false" ht="15" hidden="false" customHeight="false" outlineLevel="0" collapsed="false">
      <c r="A23" s="10" t="s">
        <v>49</v>
      </c>
      <c r="B23" s="11" t="s">
        <v>50</v>
      </c>
      <c r="C23" s="7" t="n">
        <v>556</v>
      </c>
      <c r="D23" s="7" t="n">
        <v>8</v>
      </c>
      <c r="E23" s="5" t="n">
        <f aca="false">C23-D23</f>
        <v>548</v>
      </c>
      <c r="F23" s="7" t="n">
        <v>200193</v>
      </c>
      <c r="G23" s="7" t="n">
        <v>21660</v>
      </c>
      <c r="H23" s="5" t="n">
        <f aca="false">F23-G23</f>
        <v>178533</v>
      </c>
      <c r="I23" s="4" t="n">
        <f aca="false">G23/F23*100</f>
        <v>10.8195591254439</v>
      </c>
      <c r="J23" s="7" t="n">
        <v>12320</v>
      </c>
      <c r="K23" s="7" t="n">
        <v>1008</v>
      </c>
      <c r="L23" s="5" t="n">
        <f aca="false">J23-K23</f>
        <v>11312</v>
      </c>
      <c r="M23" s="4" t="n">
        <f aca="false">F23/J23</f>
        <v>16.2494318181818</v>
      </c>
      <c r="N23" s="15" t="n">
        <f aca="false">F23/C23</f>
        <v>360.059352517986</v>
      </c>
    </row>
    <row r="24" customFormat="false" ht="15" hidden="false" customHeight="false" outlineLevel="0" collapsed="false">
      <c r="A24" s="10" t="s">
        <v>51</v>
      </c>
      <c r="B24" s="11" t="s">
        <v>50</v>
      </c>
      <c r="C24" s="7" t="n">
        <v>249</v>
      </c>
      <c r="D24" s="7" t="n">
        <v>9</v>
      </c>
      <c r="E24" s="5" t="n">
        <f aca="false">C24-D24</f>
        <v>240</v>
      </c>
      <c r="F24" s="7" t="n">
        <v>89274</v>
      </c>
      <c r="G24" s="7" t="n">
        <v>19992</v>
      </c>
      <c r="H24" s="5" t="n">
        <f aca="false">F24-G24</f>
        <v>69282</v>
      </c>
      <c r="I24" s="4" t="n">
        <f aca="false">G24/F24*100</f>
        <v>22.3939780899254</v>
      </c>
      <c r="J24" s="7" t="n">
        <v>4909</v>
      </c>
      <c r="K24" s="7" t="n">
        <v>819</v>
      </c>
      <c r="L24" s="5" t="n">
        <f aca="false">J24-K24</f>
        <v>4090</v>
      </c>
      <c r="M24" s="4" t="n">
        <f aca="false">F24/J24</f>
        <v>18.1857812181707</v>
      </c>
      <c r="N24" s="15" t="n">
        <f aca="false">F24/C24</f>
        <v>358.530120481928</v>
      </c>
    </row>
    <row r="25" customFormat="false" ht="15" hidden="false" customHeight="false" outlineLevel="0" collapsed="false">
      <c r="A25" s="10" t="s">
        <v>52</v>
      </c>
      <c r="B25" s="11" t="s">
        <v>53</v>
      </c>
      <c r="C25" s="7" t="n">
        <v>601</v>
      </c>
      <c r="D25" s="7" t="n">
        <v>27</v>
      </c>
      <c r="E25" s="5" t="n">
        <f aca="false">C25-D25</f>
        <v>574</v>
      </c>
      <c r="F25" s="7" t="n">
        <v>167138</v>
      </c>
      <c r="G25" s="7" t="n">
        <v>33367</v>
      </c>
      <c r="H25" s="5" t="n">
        <f aca="false">F25-G25</f>
        <v>133771</v>
      </c>
      <c r="I25" s="4" t="n">
        <f aca="false">G25/F25*100</f>
        <v>19.9637425361079</v>
      </c>
      <c r="J25" s="7" t="n">
        <v>13561</v>
      </c>
      <c r="K25" s="7" t="n">
        <v>2224</v>
      </c>
      <c r="L25" s="5" t="n">
        <f aca="false">J25-K25</f>
        <v>11337</v>
      </c>
      <c r="M25" s="4" t="n">
        <f aca="false">F25/J25</f>
        <v>12.3249022933412</v>
      </c>
      <c r="N25" s="15" t="n">
        <f aca="false">F25/C25</f>
        <v>278.099833610649</v>
      </c>
    </row>
    <row r="26" customFormat="false" ht="15" hidden="false" customHeight="false" outlineLevel="0" collapsed="false">
      <c r="A26" s="10" t="s">
        <v>54</v>
      </c>
      <c r="B26" s="11" t="s">
        <v>53</v>
      </c>
      <c r="C26" s="7" t="n">
        <v>291</v>
      </c>
      <c r="D26" s="7" t="n">
        <v>11</v>
      </c>
      <c r="E26" s="5" t="n">
        <f aca="false">C26-D26</f>
        <v>280</v>
      </c>
      <c r="F26" s="7" t="n">
        <v>110875</v>
      </c>
      <c r="G26" s="7" t="n">
        <v>20685</v>
      </c>
      <c r="H26" s="5" t="n">
        <f aca="false">F26-G26</f>
        <v>90190</v>
      </c>
      <c r="I26" s="4" t="n">
        <f aca="false">G26/F26*100</f>
        <v>18.6561443066516</v>
      </c>
      <c r="J26" s="7" t="n">
        <v>6627</v>
      </c>
      <c r="K26" s="7" t="n">
        <v>971</v>
      </c>
      <c r="L26" s="5" t="n">
        <f aca="false">J26-K26</f>
        <v>5656</v>
      </c>
      <c r="M26" s="4" t="n">
        <f aca="false">F26/J26</f>
        <v>16.730798249585</v>
      </c>
      <c r="N26" s="15" t="n">
        <f aca="false">F26/C26</f>
        <v>381.013745704467</v>
      </c>
    </row>
    <row r="27" customFormat="false" ht="15" hidden="false" customHeight="false" outlineLevel="0" collapsed="false">
      <c r="A27" s="10" t="s">
        <v>55</v>
      </c>
      <c r="B27" s="11" t="s">
        <v>56</v>
      </c>
      <c r="C27" s="7" t="n">
        <v>582</v>
      </c>
      <c r="D27" s="7" t="n">
        <v>16</v>
      </c>
      <c r="E27" s="5" t="n">
        <f aca="false">C27-D27</f>
        <v>566</v>
      </c>
      <c r="F27" s="7" t="n">
        <v>211988</v>
      </c>
      <c r="G27" s="7" t="n">
        <v>39226</v>
      </c>
      <c r="H27" s="5" t="n">
        <f aca="false">F27-G27</f>
        <v>172762</v>
      </c>
      <c r="I27" s="4" t="n">
        <f aca="false">G27/F27*100</f>
        <v>18.5038775779761</v>
      </c>
      <c r="J27" s="7" t="n">
        <v>13141</v>
      </c>
      <c r="K27" s="7" t="n">
        <v>1930</v>
      </c>
      <c r="L27" s="5" t="n">
        <f aca="false">J27-K27</f>
        <v>11211</v>
      </c>
      <c r="M27" s="4" t="n">
        <f aca="false">F27/J27</f>
        <v>16.1318012327829</v>
      </c>
      <c r="N27" s="15" t="n">
        <f aca="false">F27/C27</f>
        <v>364.240549828179</v>
      </c>
    </row>
    <row r="28" customFormat="false" ht="15" hidden="false" customHeight="false" outlineLevel="0" collapsed="false">
      <c r="A28" s="10" t="s">
        <v>57</v>
      </c>
      <c r="B28" s="11" t="s">
        <v>56</v>
      </c>
      <c r="C28" s="7" t="n">
        <v>498</v>
      </c>
      <c r="D28" s="7" t="n">
        <v>15</v>
      </c>
      <c r="E28" s="5" t="n">
        <f aca="false">C28-D28</f>
        <v>483</v>
      </c>
      <c r="F28" s="7" t="n">
        <v>148758</v>
      </c>
      <c r="G28" s="7" t="n">
        <v>39513</v>
      </c>
      <c r="H28" s="5" t="n">
        <f aca="false">F28-G28</f>
        <v>109245</v>
      </c>
      <c r="I28" s="4" t="n">
        <f aca="false">G28/F28*100</f>
        <v>26.5619328036139</v>
      </c>
      <c r="J28" s="7" t="n">
        <v>11339</v>
      </c>
      <c r="K28" s="7" t="n">
        <v>2096</v>
      </c>
      <c r="L28" s="5" t="n">
        <f aca="false">J28-K28</f>
        <v>9243</v>
      </c>
      <c r="M28" s="4" t="n">
        <f aca="false">F28/J28</f>
        <v>13.1191463091983</v>
      </c>
      <c r="N28" s="15" t="n">
        <f aca="false">F28/C28</f>
        <v>298.710843373494</v>
      </c>
    </row>
    <row r="29" customFormat="false" ht="15" hidden="false" customHeight="false" outlineLevel="0" collapsed="false">
      <c r="A29" s="16" t="s">
        <v>101</v>
      </c>
      <c r="C29" s="17" t="n">
        <f aca="false">SUM(C4:C28)</f>
        <v>10047</v>
      </c>
      <c r="D29" s="17" t="n">
        <f aca="false">SUM(D4:D28)</f>
        <v>396</v>
      </c>
      <c r="E29" s="17" t="n">
        <f aca="false">SUM(E4:E28)</f>
        <v>9651</v>
      </c>
      <c r="F29" s="17" t="n">
        <f aca="false">SUM(F4:F28)</f>
        <v>3747544</v>
      </c>
      <c r="G29" s="17" t="n">
        <f aca="false">SUM(G4:G28)</f>
        <v>825664</v>
      </c>
      <c r="H29" s="17" t="n">
        <f aca="false">SUM(H4:H28)</f>
        <v>2921880</v>
      </c>
      <c r="J29" s="17" t="n">
        <f aca="false">SUM(J4:J28)</f>
        <v>242309</v>
      </c>
      <c r="K29" s="17" t="n">
        <f aca="false">SUM(K4:K28)</f>
        <v>42803</v>
      </c>
      <c r="L29" s="17" t="n">
        <f aca="false">SUM(L4:L28)</f>
        <v>199506</v>
      </c>
    </row>
    <row r="30" customFormat="false" ht="15" hidden="false" customHeight="false" outlineLevel="0" collapsed="false">
      <c r="A30" s="8" t="s">
        <v>102</v>
      </c>
    </row>
  </sheetData>
  <autoFilter ref="A3:N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8" t="s">
        <v>103</v>
      </c>
      <c r="B1" s="19" t="s">
        <v>104</v>
      </c>
    </row>
    <row r="2" customFormat="false" ht="15" hidden="false" customHeight="false" outlineLevel="0" collapsed="false">
      <c r="A2" s="16" t="s">
        <v>105</v>
      </c>
      <c r="B2" s="20" t="s">
        <v>106</v>
      </c>
    </row>
    <row r="3" customFormat="false" ht="15" hidden="false" customHeight="false" outlineLevel="0" collapsed="false">
      <c r="A3" s="16" t="s">
        <v>107</v>
      </c>
      <c r="B3" s="20" t="s">
        <v>108</v>
      </c>
    </row>
    <row r="4" customFormat="false" ht="15" hidden="false" customHeight="false" outlineLevel="0" collapsed="false">
      <c r="A4" s="16" t="s">
        <v>109</v>
      </c>
      <c r="B4" s="20" t="s">
        <v>110</v>
      </c>
    </row>
    <row r="5" customFormat="false" ht="15" hidden="false" customHeight="false" outlineLevel="0" collapsed="false">
      <c r="A5" s="16" t="s">
        <v>111</v>
      </c>
      <c r="B5" s="20" t="s">
        <v>112</v>
      </c>
    </row>
    <row r="6" customFormat="false" ht="15" hidden="false" customHeight="false" outlineLevel="0" collapsed="false">
      <c r="A6" s="16" t="s">
        <v>113</v>
      </c>
      <c r="B6" s="20" t="s">
        <v>114</v>
      </c>
    </row>
    <row r="7" customFormat="false" ht="15" hidden="false" customHeight="false" outlineLevel="0" collapsed="false">
      <c r="A7" s="16" t="s">
        <v>115</v>
      </c>
      <c r="B7" s="20" t="s">
        <v>116</v>
      </c>
    </row>
    <row r="8" customFormat="false" ht="15" hidden="false" customHeight="false" outlineLevel="0" collapsed="false">
      <c r="A8" s="16" t="s">
        <v>117</v>
      </c>
      <c r="B8" s="20" t="s">
        <v>118</v>
      </c>
    </row>
    <row r="9" customFormat="false" ht="15" hidden="false" customHeight="false" outlineLevel="0" collapsed="false">
      <c r="A9" s="16" t="s">
        <v>119</v>
      </c>
      <c r="B9" s="20" t="s">
        <v>120</v>
      </c>
    </row>
    <row r="10" customFormat="false" ht="15" hidden="false" customHeight="false" outlineLevel="0" collapsed="false">
      <c r="A10" s="16" t="s">
        <v>121</v>
      </c>
      <c r="B10" s="20" t="s">
        <v>122</v>
      </c>
    </row>
    <row r="11" customFormat="false" ht="15" hidden="false" customHeight="false" outlineLevel="0" collapsed="false">
      <c r="A11" s="16" t="s">
        <v>123</v>
      </c>
      <c r="B11" s="20" t="s">
        <v>124</v>
      </c>
    </row>
    <row r="12" customFormat="false" ht="15" hidden="false" customHeight="false" outlineLevel="0" collapsed="false">
      <c r="A12" s="16" t="s">
        <v>125</v>
      </c>
      <c r="B12" s="20" t="s">
        <v>126</v>
      </c>
    </row>
    <row r="13" customFormat="false" ht="15" hidden="false" customHeight="false" outlineLevel="0" collapsed="false">
      <c r="A13" s="16" t="s">
        <v>127</v>
      </c>
      <c r="B13" s="20" t="s">
        <v>128</v>
      </c>
    </row>
    <row r="14" customFormat="false" ht="15" hidden="false" customHeight="false" outlineLevel="0" collapsed="false">
      <c r="A14" s="16" t="s">
        <v>129</v>
      </c>
      <c r="B14" s="20" t="s">
        <v>130</v>
      </c>
    </row>
    <row r="15" customFormat="false" ht="23.85" hidden="false" customHeight="false" outlineLevel="0" collapsed="false">
      <c r="A15" s="16" t="s">
        <v>131</v>
      </c>
      <c r="B15" s="20" t="s">
        <v>132</v>
      </c>
    </row>
    <row r="16" customFormat="false" ht="23.85" hidden="false" customHeight="false" outlineLevel="0" collapsed="false">
      <c r="A16" s="16" t="s">
        <v>133</v>
      </c>
      <c r="B16" s="2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2026-10-02T14:09:50Z</dcterms:created>
  <dc:creator>openpyxl</dc:creator>
  <dc:description/>
  <dc:language>en-US</dc:language>
  <cp:lastModifiedBy/>
  <dcterms:modified xsi:type="dcterms:W3CDTF">2026-10-02T14:09:51Z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