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Share of MPI (%)" sheetId="1" r:id="rId5"/>
  </sheets>
  <definedNames/>
  <calcPr/>
</workbook>
</file>

<file path=xl/sharedStrings.xml><?xml version="1.0" encoding="utf-8"?>
<sst xmlns="http://schemas.openxmlformats.org/spreadsheetml/2006/main" count="43" uniqueCount="43">
  <si>
    <t>EDUCATION</t>
  </si>
  <si>
    <t>HEALTH</t>
  </si>
  <si>
    <t>STANDARD OF LIVING</t>
  </si>
  <si>
    <t>District</t>
  </si>
  <si>
    <t>Schooling</t>
  </si>
  <si>
    <t>School Attendance</t>
  </si>
  <si>
    <t>Chronic Illness</t>
  </si>
  <si>
    <t>Access to Health Facilities</t>
  </si>
  <si>
    <t>Housing</t>
  </si>
  <si>
    <t>Sanitation</t>
  </si>
  <si>
    <t>Drinking Water</t>
  </si>
  <si>
    <t>Cooking Fuel</t>
  </si>
  <si>
    <t>Assets</t>
  </si>
  <si>
    <t>Basic Facilities</t>
  </si>
  <si>
    <t>Total</t>
  </si>
  <si>
    <t>MPI poor (H %)</t>
  </si>
  <si>
    <t>Nuwara Eliya</t>
  </si>
  <si>
    <t>Badulla</t>
  </si>
  <si>
    <t>Monaragala</t>
  </si>
  <si>
    <t>Ratnapura</t>
  </si>
  <si>
    <t>Mannar</t>
  </si>
  <si>
    <t>Vavuniya</t>
  </si>
  <si>
    <t>Kandy</t>
  </si>
  <si>
    <t>Matale</t>
  </si>
  <si>
    <t>Hambantota</t>
  </si>
  <si>
    <t>Polonnaruwa</t>
  </si>
  <si>
    <t>Batticaloa</t>
  </si>
  <si>
    <t>Kegalle</t>
  </si>
  <si>
    <t>Anuradhapura</t>
  </si>
  <si>
    <t>Matara</t>
  </si>
  <si>
    <t>Kilinochchi</t>
  </si>
  <si>
    <t>Trincomalee</t>
  </si>
  <si>
    <t>Ampara</t>
  </si>
  <si>
    <t>Mullaitivu</t>
  </si>
  <si>
    <t>Kurunegala</t>
  </si>
  <si>
    <t>Kalutara</t>
  </si>
  <si>
    <t>Galle</t>
  </si>
  <si>
    <t>Puttalam</t>
  </si>
  <si>
    <t>Jaffna</t>
  </si>
  <si>
    <t>Gampaha</t>
  </si>
  <si>
    <t>Colombo</t>
  </si>
  <si>
    <t>What this shows: out of each district's poverty, what % comes from each deprivation. Each row adds to 100. Measured pixel-by-pixel from DCS MPI 2019, Figure 5 (±1 point).</t>
  </si>
  <si>
    <t>H (MPI headcount): Colombo, Gampaha, Nuwara Eliya exact from report; others read from Figure 3 (approx.).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</si>
</sst>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10.0"/>
      <color theme="1"/>
      <name val="Arial"/>
    </font>
    <font>
      <sz val="10.0"/>
      <color rgb="FF0000FF"/>
      <name val="Arial"/>
    </font>
    <font>
      <sz val="10.0"/>
      <color theme="1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BF8F00"/>
        <bgColor rgb="FFBF8F00"/>
      </patternFill>
    </fill>
    <fill>
      <patternFill patternType="solid">
        <fgColor rgb="FF375623"/>
        <bgColor rgb="FF375623"/>
      </patternFill>
    </fill>
    <fill>
      <patternFill patternType="solid">
        <fgColor rgb="FF1F4E78"/>
        <bgColor rgb="FF1F4E78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5" fontId="1" numFmtId="0" xfId="0" applyAlignment="1" applyBorder="1" applyFill="1" applyFont="1">
      <alignment shrinkToFit="0" vertical="bottom" wrapText="0"/>
    </xf>
    <xf borderId="4" fillId="2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5.0"/>
    <col customWidth="1" min="2" max="11" width="11.0"/>
    <col customWidth="1" min="12" max="13" width="12.0"/>
    <col customWidth="1" min="14" max="26" width="8.71"/>
  </cols>
  <sheetData>
    <row r="1">
      <c r="B1" s="1" t="s">
        <v>0</v>
      </c>
      <c r="C1" s="2"/>
      <c r="D1" s="3" t="s">
        <v>1</v>
      </c>
      <c r="E1" s="2"/>
      <c r="F1" s="4" t="s">
        <v>2</v>
      </c>
      <c r="G1" s="5"/>
      <c r="H1" s="5"/>
      <c r="I1" s="5"/>
      <c r="J1" s="5"/>
      <c r="K1" s="2"/>
    </row>
    <row r="2" ht="45.0" customHeight="1">
      <c r="A2" s="6" t="s">
        <v>3</v>
      </c>
      <c r="B2" s="7" t="s">
        <v>4</v>
      </c>
      <c r="C2" s="7" t="s">
        <v>5</v>
      </c>
      <c r="D2" s="8" t="s">
        <v>6</v>
      </c>
      <c r="E2" s="8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10" t="s">
        <v>14</v>
      </c>
      <c r="M2" s="11" t="s">
        <v>15</v>
      </c>
    </row>
    <row r="3">
      <c r="A3" s="12" t="s">
        <v>16</v>
      </c>
      <c r="B3" s="13">
        <v>9.7</v>
      </c>
      <c r="C3" s="13">
        <v>3.1</v>
      </c>
      <c r="D3" s="13">
        <v>2.3</v>
      </c>
      <c r="E3" s="13">
        <v>32.7</v>
      </c>
      <c r="F3" s="13">
        <v>7.0</v>
      </c>
      <c r="G3" s="13">
        <v>0.1</v>
      </c>
      <c r="H3" s="13">
        <v>11.4</v>
      </c>
      <c r="I3" s="13">
        <v>11.2</v>
      </c>
      <c r="J3" s="13">
        <v>11.2</v>
      </c>
      <c r="K3" s="13">
        <v>11.5</v>
      </c>
      <c r="L3" s="14">
        <f t="shared" ref="L3:L27" si="1">SUM(B3:K3)</f>
        <v>100.2</v>
      </c>
      <c r="M3" s="15">
        <v>44.2</v>
      </c>
    </row>
    <row r="4">
      <c r="A4" s="12" t="s">
        <v>17</v>
      </c>
      <c r="B4" s="13">
        <v>10.6</v>
      </c>
      <c r="C4" s="13">
        <v>3.4</v>
      </c>
      <c r="D4" s="13">
        <v>4.6</v>
      </c>
      <c r="E4" s="13">
        <v>30.0</v>
      </c>
      <c r="F4" s="13">
        <v>6.6</v>
      </c>
      <c r="G4" s="13">
        <v>0.2</v>
      </c>
      <c r="H4" s="13">
        <v>9.7</v>
      </c>
      <c r="I4" s="13">
        <v>12.4</v>
      </c>
      <c r="J4" s="13">
        <v>10.9</v>
      </c>
      <c r="K4" s="13">
        <v>11.5</v>
      </c>
      <c r="L4" s="14">
        <f t="shared" si="1"/>
        <v>99.9</v>
      </c>
      <c r="M4" s="15">
        <v>37.0</v>
      </c>
    </row>
    <row r="5">
      <c r="A5" s="12" t="s">
        <v>18</v>
      </c>
      <c r="B5" s="13">
        <v>10.8</v>
      </c>
      <c r="C5" s="13">
        <v>4.9</v>
      </c>
      <c r="D5" s="13">
        <v>4.4</v>
      </c>
      <c r="E5" s="13">
        <v>32.8</v>
      </c>
      <c r="F5" s="13">
        <v>4.0</v>
      </c>
      <c r="G5" s="13">
        <v>0.7</v>
      </c>
      <c r="H5" s="13">
        <v>10.9</v>
      </c>
      <c r="I5" s="13">
        <v>12.5</v>
      </c>
      <c r="J5" s="13">
        <v>7.4</v>
      </c>
      <c r="K5" s="13">
        <v>11.5</v>
      </c>
      <c r="L5" s="14">
        <f t="shared" si="1"/>
        <v>99.9</v>
      </c>
      <c r="M5" s="15">
        <v>33.0</v>
      </c>
    </row>
    <row r="6">
      <c r="A6" s="12" t="s">
        <v>19</v>
      </c>
      <c r="B6" s="13">
        <v>10.2</v>
      </c>
      <c r="C6" s="13">
        <v>4.4</v>
      </c>
      <c r="D6" s="13">
        <v>4.3</v>
      </c>
      <c r="E6" s="13">
        <v>31.7</v>
      </c>
      <c r="F6" s="13">
        <v>4.2</v>
      </c>
      <c r="G6" s="13">
        <v>0.4</v>
      </c>
      <c r="H6" s="13">
        <v>11.3</v>
      </c>
      <c r="I6" s="13">
        <v>12.5</v>
      </c>
      <c r="J6" s="13">
        <v>10.2</v>
      </c>
      <c r="K6" s="13">
        <v>10.8</v>
      </c>
      <c r="L6" s="14">
        <f t="shared" si="1"/>
        <v>100</v>
      </c>
      <c r="M6" s="15">
        <v>28.0</v>
      </c>
    </row>
    <row r="7">
      <c r="A7" s="12" t="s">
        <v>20</v>
      </c>
      <c r="B7" s="13">
        <v>7.1</v>
      </c>
      <c r="C7" s="13">
        <v>8.4</v>
      </c>
      <c r="D7" s="13">
        <v>7.3</v>
      </c>
      <c r="E7" s="13">
        <v>32.7</v>
      </c>
      <c r="F7" s="13">
        <v>3.8</v>
      </c>
      <c r="G7" s="13">
        <v>0.5</v>
      </c>
      <c r="H7" s="13">
        <v>12.8</v>
      </c>
      <c r="I7" s="13">
        <v>12.5</v>
      </c>
      <c r="J7" s="13">
        <v>6.8</v>
      </c>
      <c r="K7" s="13">
        <v>8.2</v>
      </c>
      <c r="L7" s="14">
        <f t="shared" si="1"/>
        <v>100.1</v>
      </c>
      <c r="M7" s="15">
        <v>27.0</v>
      </c>
    </row>
    <row r="8">
      <c r="A8" s="12" t="s">
        <v>21</v>
      </c>
      <c r="B8" s="13">
        <v>11.3</v>
      </c>
      <c r="C8" s="13">
        <v>7.1</v>
      </c>
      <c r="D8" s="13">
        <v>1.0</v>
      </c>
      <c r="E8" s="13">
        <v>33.5</v>
      </c>
      <c r="F8" s="13">
        <v>3.2</v>
      </c>
      <c r="G8" s="13">
        <v>0.5</v>
      </c>
      <c r="H8" s="13">
        <v>13.2</v>
      </c>
      <c r="I8" s="13">
        <v>12.1</v>
      </c>
      <c r="J8" s="13">
        <v>7.2</v>
      </c>
      <c r="K8" s="13">
        <v>10.8</v>
      </c>
      <c r="L8" s="14">
        <f t="shared" si="1"/>
        <v>99.9</v>
      </c>
      <c r="M8" s="15">
        <v>26.0</v>
      </c>
    </row>
    <row r="9">
      <c r="A9" s="12" t="s">
        <v>22</v>
      </c>
      <c r="B9" s="13">
        <v>9.8</v>
      </c>
      <c r="C9" s="13">
        <v>3.9</v>
      </c>
      <c r="D9" s="13">
        <v>6.6</v>
      </c>
      <c r="E9" s="13">
        <v>30.2</v>
      </c>
      <c r="F9" s="13">
        <v>7.6</v>
      </c>
      <c r="G9" s="13">
        <v>1.6</v>
      </c>
      <c r="H9" s="13">
        <v>9.2</v>
      </c>
      <c r="I9" s="13">
        <v>11.0</v>
      </c>
      <c r="J9" s="13">
        <v>9.4</v>
      </c>
      <c r="K9" s="13">
        <v>10.7</v>
      </c>
      <c r="L9" s="14">
        <f t="shared" si="1"/>
        <v>100</v>
      </c>
      <c r="M9" s="15">
        <v>22.0</v>
      </c>
    </row>
    <row r="10">
      <c r="A10" s="12" t="s">
        <v>23</v>
      </c>
      <c r="B10" s="13">
        <v>9.2</v>
      </c>
      <c r="C10" s="13">
        <v>4.3</v>
      </c>
      <c r="D10" s="13">
        <v>4.3</v>
      </c>
      <c r="E10" s="13">
        <v>30.9</v>
      </c>
      <c r="F10" s="13">
        <v>4.5</v>
      </c>
      <c r="G10" s="13">
        <v>1.7</v>
      </c>
      <c r="H10" s="13">
        <v>11.4</v>
      </c>
      <c r="I10" s="13">
        <v>13.6</v>
      </c>
      <c r="J10" s="13">
        <v>8.4</v>
      </c>
      <c r="K10" s="13">
        <v>11.8</v>
      </c>
      <c r="L10" s="14">
        <f t="shared" si="1"/>
        <v>100.1</v>
      </c>
      <c r="M10" s="15">
        <v>20.0</v>
      </c>
    </row>
    <row r="11">
      <c r="A11" s="12" t="s">
        <v>24</v>
      </c>
      <c r="B11" s="13">
        <v>11.2</v>
      </c>
      <c r="C11" s="13">
        <v>6.1</v>
      </c>
      <c r="D11" s="13">
        <v>8.2</v>
      </c>
      <c r="E11" s="13">
        <v>31.7</v>
      </c>
      <c r="F11" s="13">
        <v>2.0</v>
      </c>
      <c r="G11" s="13">
        <v>0.3</v>
      </c>
      <c r="H11" s="13">
        <v>11.2</v>
      </c>
      <c r="I11" s="13">
        <v>13.0</v>
      </c>
      <c r="J11" s="13">
        <v>5.0</v>
      </c>
      <c r="K11" s="13">
        <v>11.5</v>
      </c>
      <c r="L11" s="14">
        <f t="shared" si="1"/>
        <v>100.2</v>
      </c>
      <c r="M11" s="15">
        <v>20.0</v>
      </c>
    </row>
    <row r="12">
      <c r="A12" s="12" t="s">
        <v>25</v>
      </c>
      <c r="B12" s="13">
        <v>7.9</v>
      </c>
      <c r="C12" s="13">
        <v>7.1</v>
      </c>
      <c r="D12" s="13">
        <v>6.9</v>
      </c>
      <c r="E12" s="13">
        <v>32.0</v>
      </c>
      <c r="F12" s="13">
        <v>2.4</v>
      </c>
      <c r="G12" s="13">
        <v>1.8</v>
      </c>
      <c r="H12" s="13">
        <v>12.5</v>
      </c>
      <c r="I12" s="13">
        <v>12.5</v>
      </c>
      <c r="J12" s="13">
        <v>6.9</v>
      </c>
      <c r="K12" s="13">
        <v>10.2</v>
      </c>
      <c r="L12" s="14">
        <f t="shared" si="1"/>
        <v>100.2</v>
      </c>
      <c r="M12" s="15">
        <v>20.0</v>
      </c>
    </row>
    <row r="13">
      <c r="A13" s="12" t="s">
        <v>26</v>
      </c>
      <c r="B13" s="13">
        <v>13.8</v>
      </c>
      <c r="C13" s="13">
        <v>14.3</v>
      </c>
      <c r="D13" s="13">
        <v>1.0</v>
      </c>
      <c r="E13" s="13">
        <v>27.1</v>
      </c>
      <c r="F13" s="13">
        <v>2.4</v>
      </c>
      <c r="G13" s="13">
        <v>1.3</v>
      </c>
      <c r="H13" s="13">
        <v>10.7</v>
      </c>
      <c r="I13" s="13">
        <v>11.0</v>
      </c>
      <c r="J13" s="13">
        <v>9.1</v>
      </c>
      <c r="K13" s="13">
        <v>9.5</v>
      </c>
      <c r="L13" s="14">
        <f t="shared" si="1"/>
        <v>100.2</v>
      </c>
      <c r="M13" s="15">
        <v>20.0</v>
      </c>
    </row>
    <row r="14">
      <c r="A14" s="12" t="s">
        <v>27</v>
      </c>
      <c r="B14" s="13">
        <v>8.8</v>
      </c>
      <c r="C14" s="13">
        <v>2.0</v>
      </c>
      <c r="D14" s="13">
        <v>4.7</v>
      </c>
      <c r="E14" s="13">
        <v>32.6</v>
      </c>
      <c r="F14" s="13">
        <v>8.0</v>
      </c>
      <c r="G14" s="13">
        <v>0.3</v>
      </c>
      <c r="H14" s="13">
        <v>11.2</v>
      </c>
      <c r="I14" s="13">
        <v>11.5</v>
      </c>
      <c r="J14" s="13">
        <v>9.7</v>
      </c>
      <c r="K14" s="13">
        <v>11.2</v>
      </c>
      <c r="L14" s="14">
        <f t="shared" si="1"/>
        <v>100</v>
      </c>
      <c r="M14" s="15">
        <v>18.0</v>
      </c>
    </row>
    <row r="15">
      <c r="A15" s="12" t="s">
        <v>28</v>
      </c>
      <c r="B15" s="13">
        <v>11.0</v>
      </c>
      <c r="C15" s="13">
        <v>3.8</v>
      </c>
      <c r="D15" s="13">
        <v>12.0</v>
      </c>
      <c r="E15" s="13">
        <v>28.4</v>
      </c>
      <c r="F15" s="13">
        <v>2.4</v>
      </c>
      <c r="G15" s="13">
        <v>0.9</v>
      </c>
      <c r="H15" s="13">
        <v>13.5</v>
      </c>
      <c r="I15" s="13">
        <v>13.6</v>
      </c>
      <c r="J15" s="13">
        <v>5.0</v>
      </c>
      <c r="K15" s="13">
        <v>9.5</v>
      </c>
      <c r="L15" s="14">
        <f t="shared" si="1"/>
        <v>100.1</v>
      </c>
      <c r="M15" s="15">
        <v>18.0</v>
      </c>
    </row>
    <row r="16">
      <c r="A16" s="12" t="s">
        <v>29</v>
      </c>
      <c r="B16" s="13">
        <v>10.5</v>
      </c>
      <c r="C16" s="13">
        <v>4.2</v>
      </c>
      <c r="D16" s="13">
        <v>3.9</v>
      </c>
      <c r="E16" s="13">
        <v>31.9</v>
      </c>
      <c r="F16" s="13">
        <v>4.3</v>
      </c>
      <c r="G16" s="13">
        <v>1.1</v>
      </c>
      <c r="H16" s="13">
        <v>12.0</v>
      </c>
      <c r="I16" s="13">
        <v>12.3</v>
      </c>
      <c r="J16" s="13">
        <v>8.3</v>
      </c>
      <c r="K16" s="13">
        <v>11.5</v>
      </c>
      <c r="L16" s="14">
        <f t="shared" si="1"/>
        <v>100</v>
      </c>
      <c r="M16" s="15">
        <v>17.0</v>
      </c>
    </row>
    <row r="17">
      <c r="A17" s="12" t="s">
        <v>30</v>
      </c>
      <c r="B17" s="13">
        <v>5.5</v>
      </c>
      <c r="C17" s="13">
        <v>16.6</v>
      </c>
      <c r="D17" s="13">
        <v>1.3</v>
      </c>
      <c r="E17" s="13">
        <v>29.7</v>
      </c>
      <c r="F17" s="13">
        <v>3.4</v>
      </c>
      <c r="G17" s="13">
        <v>0.9</v>
      </c>
      <c r="H17" s="13">
        <v>13.8</v>
      </c>
      <c r="I17" s="13">
        <v>12.7</v>
      </c>
      <c r="J17" s="13">
        <v>8.3</v>
      </c>
      <c r="K17" s="13">
        <v>7.8</v>
      </c>
      <c r="L17" s="14">
        <f t="shared" si="1"/>
        <v>100</v>
      </c>
      <c r="M17" s="15">
        <v>15.0</v>
      </c>
    </row>
    <row r="18">
      <c r="A18" s="12" t="s">
        <v>31</v>
      </c>
      <c r="B18" s="13">
        <v>9.8</v>
      </c>
      <c r="C18" s="13">
        <v>6.8</v>
      </c>
      <c r="D18" s="13">
        <v>3.1</v>
      </c>
      <c r="E18" s="13">
        <v>33.4</v>
      </c>
      <c r="F18" s="13">
        <v>3.1</v>
      </c>
      <c r="G18" s="13">
        <v>0.4</v>
      </c>
      <c r="H18" s="13">
        <v>13.0</v>
      </c>
      <c r="I18" s="13">
        <v>12.9</v>
      </c>
      <c r="J18" s="13">
        <v>7.5</v>
      </c>
      <c r="K18" s="13">
        <v>10.0</v>
      </c>
      <c r="L18" s="14">
        <f t="shared" si="1"/>
        <v>100</v>
      </c>
      <c r="M18" s="15">
        <v>15.0</v>
      </c>
    </row>
    <row r="19">
      <c r="A19" s="12" t="s">
        <v>32</v>
      </c>
      <c r="B19" s="13">
        <v>11.9</v>
      </c>
      <c r="C19" s="13">
        <v>10.6</v>
      </c>
      <c r="D19" s="13">
        <v>9.4</v>
      </c>
      <c r="E19" s="13">
        <v>22.5</v>
      </c>
      <c r="F19" s="13">
        <v>5.4</v>
      </c>
      <c r="G19" s="13">
        <v>1.1</v>
      </c>
      <c r="H19" s="13">
        <v>11.7</v>
      </c>
      <c r="I19" s="13">
        <v>11.3</v>
      </c>
      <c r="J19" s="13">
        <v>6.7</v>
      </c>
      <c r="K19" s="13">
        <v>9.5</v>
      </c>
      <c r="L19" s="14">
        <f t="shared" si="1"/>
        <v>100.1</v>
      </c>
      <c r="M19" s="15">
        <v>14.0</v>
      </c>
    </row>
    <row r="20">
      <c r="A20" s="12" t="s">
        <v>33</v>
      </c>
      <c r="B20" s="13">
        <v>6.5</v>
      </c>
      <c r="C20" s="13">
        <v>6.4</v>
      </c>
      <c r="D20" s="13">
        <v>0.7</v>
      </c>
      <c r="E20" s="13">
        <v>35.0</v>
      </c>
      <c r="F20" s="13">
        <v>2.4</v>
      </c>
      <c r="G20" s="13">
        <v>1.0</v>
      </c>
      <c r="H20" s="13">
        <v>13.1</v>
      </c>
      <c r="I20" s="13">
        <v>14.2</v>
      </c>
      <c r="J20" s="13">
        <v>8.7</v>
      </c>
      <c r="K20" s="13">
        <v>12.1</v>
      </c>
      <c r="L20" s="14">
        <f t="shared" si="1"/>
        <v>100.1</v>
      </c>
      <c r="M20" s="15">
        <v>14.0</v>
      </c>
    </row>
    <row r="21" ht="15.75" customHeight="1">
      <c r="A21" s="12" t="s">
        <v>34</v>
      </c>
      <c r="B21" s="13">
        <v>10.5</v>
      </c>
      <c r="C21" s="13">
        <v>7.8</v>
      </c>
      <c r="D21" s="13">
        <v>11.4</v>
      </c>
      <c r="E21" s="13">
        <v>22.5</v>
      </c>
      <c r="F21" s="13">
        <v>6.4</v>
      </c>
      <c r="G21" s="13">
        <v>0.7</v>
      </c>
      <c r="H21" s="13">
        <v>11.8</v>
      </c>
      <c r="I21" s="13">
        <v>12.8</v>
      </c>
      <c r="J21" s="13">
        <v>6.3</v>
      </c>
      <c r="K21" s="13">
        <v>9.8</v>
      </c>
      <c r="L21" s="14">
        <f t="shared" si="1"/>
        <v>100</v>
      </c>
      <c r="M21" s="15">
        <v>12.0</v>
      </c>
    </row>
    <row r="22" ht="15.75" customHeight="1">
      <c r="A22" s="12" t="s">
        <v>35</v>
      </c>
      <c r="B22" s="13">
        <v>8.3</v>
      </c>
      <c r="C22" s="13">
        <v>7.0</v>
      </c>
      <c r="D22" s="13">
        <v>11.4</v>
      </c>
      <c r="E22" s="13">
        <v>25.9</v>
      </c>
      <c r="F22" s="13">
        <v>3.5</v>
      </c>
      <c r="G22" s="13">
        <v>0.8</v>
      </c>
      <c r="H22" s="13">
        <v>13.1</v>
      </c>
      <c r="I22" s="13">
        <v>10.6</v>
      </c>
      <c r="J22" s="13">
        <v>8.5</v>
      </c>
      <c r="K22" s="13">
        <v>10.9</v>
      </c>
      <c r="L22" s="14">
        <f t="shared" si="1"/>
        <v>100</v>
      </c>
      <c r="M22" s="15">
        <v>11.0</v>
      </c>
    </row>
    <row r="23" ht="15.75" customHeight="1">
      <c r="A23" s="12" t="s">
        <v>36</v>
      </c>
      <c r="B23" s="13">
        <v>8.3</v>
      </c>
      <c r="C23" s="13">
        <v>6.2</v>
      </c>
      <c r="D23" s="13">
        <v>8.5</v>
      </c>
      <c r="E23" s="13">
        <v>29.5</v>
      </c>
      <c r="F23" s="13">
        <v>2.9</v>
      </c>
      <c r="G23" s="13">
        <v>1.4</v>
      </c>
      <c r="H23" s="13">
        <v>11.5</v>
      </c>
      <c r="I23" s="13">
        <v>12.5</v>
      </c>
      <c r="J23" s="13">
        <v>8.1</v>
      </c>
      <c r="K23" s="13">
        <v>11.0</v>
      </c>
      <c r="L23" s="14">
        <f t="shared" si="1"/>
        <v>99.9</v>
      </c>
      <c r="M23" s="15">
        <v>10.0</v>
      </c>
    </row>
    <row r="24" ht="15.75" customHeight="1">
      <c r="A24" s="12" t="s">
        <v>37</v>
      </c>
      <c r="B24" s="13">
        <v>14.6</v>
      </c>
      <c r="C24" s="13">
        <v>18.0</v>
      </c>
      <c r="D24" s="13">
        <v>5.9</v>
      </c>
      <c r="E24" s="13">
        <v>17.7</v>
      </c>
      <c r="F24" s="13">
        <v>5.7</v>
      </c>
      <c r="G24" s="13">
        <v>1.1</v>
      </c>
      <c r="H24" s="13">
        <v>11.3</v>
      </c>
      <c r="I24" s="13">
        <v>9.8</v>
      </c>
      <c r="J24" s="13">
        <v>7.0</v>
      </c>
      <c r="K24" s="13">
        <v>8.9</v>
      </c>
      <c r="L24" s="14">
        <f t="shared" si="1"/>
        <v>100</v>
      </c>
      <c r="M24" s="15">
        <v>10.0</v>
      </c>
    </row>
    <row r="25" ht="15.75" customHeight="1">
      <c r="A25" s="12" t="s">
        <v>38</v>
      </c>
      <c r="B25" s="13">
        <v>8.6</v>
      </c>
      <c r="C25" s="13">
        <v>15.2</v>
      </c>
      <c r="D25" s="13">
        <v>2.4</v>
      </c>
      <c r="E25" s="13">
        <v>25.6</v>
      </c>
      <c r="F25" s="13">
        <v>3.8</v>
      </c>
      <c r="G25" s="13">
        <v>1.6</v>
      </c>
      <c r="H25" s="13">
        <v>9.5</v>
      </c>
      <c r="I25" s="13">
        <v>13.5</v>
      </c>
      <c r="J25" s="13">
        <v>10.7</v>
      </c>
      <c r="K25" s="13">
        <v>9.1</v>
      </c>
      <c r="L25" s="14">
        <f t="shared" si="1"/>
        <v>100</v>
      </c>
      <c r="M25" s="15">
        <v>10.0</v>
      </c>
    </row>
    <row r="26" ht="15.75" customHeight="1">
      <c r="A26" s="12" t="s">
        <v>39</v>
      </c>
      <c r="B26" s="13">
        <v>5.8</v>
      </c>
      <c r="C26" s="13">
        <v>16.0</v>
      </c>
      <c r="D26" s="13">
        <v>14.2</v>
      </c>
      <c r="E26" s="13">
        <v>17.8</v>
      </c>
      <c r="F26" s="13">
        <v>6.3</v>
      </c>
      <c r="G26" s="13">
        <v>0.1</v>
      </c>
      <c r="H26" s="13">
        <v>12.4</v>
      </c>
      <c r="I26" s="13">
        <v>10.9</v>
      </c>
      <c r="J26" s="13">
        <v>6.8</v>
      </c>
      <c r="K26" s="13">
        <v>9.6</v>
      </c>
      <c r="L26" s="14">
        <f t="shared" si="1"/>
        <v>99.9</v>
      </c>
      <c r="M26" s="15">
        <v>5.1</v>
      </c>
    </row>
    <row r="27" ht="15.75" customHeight="1">
      <c r="A27" s="12" t="s">
        <v>40</v>
      </c>
      <c r="B27" s="13">
        <v>7.8</v>
      </c>
      <c r="C27" s="13">
        <v>30.6</v>
      </c>
      <c r="D27" s="13">
        <v>14.5</v>
      </c>
      <c r="E27" s="13">
        <v>4.9</v>
      </c>
      <c r="F27" s="13">
        <v>4.0</v>
      </c>
      <c r="G27" s="13">
        <v>2.2</v>
      </c>
      <c r="H27" s="13">
        <v>12.5</v>
      </c>
      <c r="I27" s="13">
        <v>7.5</v>
      </c>
      <c r="J27" s="13">
        <v>11.1</v>
      </c>
      <c r="K27" s="13">
        <v>4.8</v>
      </c>
      <c r="L27" s="14">
        <f t="shared" si="1"/>
        <v>99.9</v>
      </c>
      <c r="M27" s="15">
        <v>3.5</v>
      </c>
    </row>
    <row r="28" ht="15.75" customHeight="1"/>
    <row r="29" ht="15.75" customHeight="1">
      <c r="A29" s="16" t="s">
        <v>41</v>
      </c>
    </row>
    <row r="30" ht="15.75" customHeight="1">
      <c r="A30" s="16" t="s">
        <v>42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D1:E1"/>
    <mergeCell ref="F1:K1"/>
  </mergeCells>
  <conditionalFormatting sqref="B3:B27">
    <cfRule type="colorScale" priority="1">
      <colorScale>
        <cfvo type="min" val="0"/>
        <cfvo type="max" val="0"/>
        <color rgb="FFFFFFFF"/>
        <color rgb="FFF8696B"/>
      </colorScale>
    </cfRule>
  </conditionalFormatting>
  <conditionalFormatting sqref="C3:C27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D3:D27">
    <cfRule type="colorScale" priority="3">
      <colorScale>
        <cfvo type="min" val="0"/>
        <cfvo type="max" val="0"/>
        <color rgb="FFFFFFFF"/>
        <color rgb="FFF8696B"/>
      </colorScale>
    </cfRule>
  </conditionalFormatting>
  <conditionalFormatting sqref="E3:E27">
    <cfRule type="colorScale" priority="4">
      <colorScale>
        <cfvo type="min" val="0"/>
        <cfvo type="max" val="0"/>
        <color rgb="FFFFFFFF"/>
        <color rgb="FFF8696B"/>
      </colorScale>
    </cfRule>
  </conditionalFormatting>
  <conditionalFormatting sqref="F3:F27">
    <cfRule type="colorScale" priority="5">
      <colorScale>
        <cfvo type="min" val="0"/>
        <cfvo type="max" val="0"/>
        <color rgb="FFFFFFFF"/>
        <color rgb="FFF8696B"/>
      </colorScale>
    </cfRule>
  </conditionalFormatting>
  <conditionalFormatting sqref="G3:G27">
    <cfRule type="colorScale" priority="6">
      <colorScale>
        <cfvo type="min" val="0"/>
        <cfvo type="max" val="0"/>
        <color rgb="FFFFFFFF"/>
        <color rgb="FFF8696B"/>
      </colorScale>
    </cfRule>
  </conditionalFormatting>
  <conditionalFormatting sqref="H3:H27">
    <cfRule type="colorScale" priority="7">
      <colorScale>
        <cfvo type="min" val="0"/>
        <cfvo type="max" val="0"/>
        <color rgb="FFFFFFFF"/>
        <color rgb="FFF8696B"/>
      </colorScale>
    </cfRule>
  </conditionalFormatting>
  <conditionalFormatting sqref="I3:I27">
    <cfRule type="colorScale" priority="8">
      <colorScale>
        <cfvo type="min" val="0"/>
        <cfvo type="max" val="0"/>
        <color rgb="FFFFFFFF"/>
        <color rgb="FFF8696B"/>
      </colorScale>
    </cfRule>
  </conditionalFormatting>
  <conditionalFormatting sqref="J3:J27">
    <cfRule type="colorScale" priority="9">
      <colorScale>
        <cfvo type="min" val="0"/>
        <cfvo type="max" val="0"/>
        <color rgb="FFFFFFFF"/>
        <color rgb="FFF8696B"/>
      </colorScale>
    </cfRule>
  </conditionalFormatting>
  <conditionalFormatting sqref="K3:K27">
    <cfRule type="colorScale" priority="10">
      <colorScale>
        <cfvo type="min" val="0"/>
        <cfvo type="max" val="0"/>
        <color rgb="FFFFFFFF"/>
        <color rgb="FFF8696B"/>
      </colorScale>
    </cfRule>
  </conditionalFormatting>
  <printOptions/>
  <pageMargins bottom="1.0" footer="0.0" header="0.0" left="0.75" right="0.75" top="1.0"/>
  <pageSetup paperSize="9" orientation="portrait"/>
  <drawing r:id="rId1"/>
</worksheet>
</file>