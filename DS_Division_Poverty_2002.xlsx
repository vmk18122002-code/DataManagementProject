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 Divisions" sheetId="1" state="visible" r:id="rId3"/>
    <sheet name="District Totals" sheetId="2" state="visible" r:id="rId4"/>
    <sheet name="Notes" sheetId="3" state="visible" r:id="rId5"/>
  </sheets>
  <definedNames>
    <definedName function="false" hidden="true" localSheetId="0" name="_xlnm._FilterDatabase" vbProcedure="false">'DS Divisions'!$A$1:$G$151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<sst xmlns="http://schemas.openxmlformats.org/spreadsheetml/2006/main" count="333" uniqueCount="174">
  <si>
    <t xml:space="preserve">No.</t>
  </si>
  <si>
    <t xml:space="preserve">District</t>
  </si>
  <si>
    <t xml:space="preserve">DS Division</t>
  </si>
  <si>
    <t xml:space="preserve">Headcount Index HI (%)</t>
  </si>
  <si>
    <t xml:space="preserve">Poor people (HPBPL)</t>
  </si>
  <si>
    <t xml:space="preserve">Rank in district (by HI)</t>
  </si>
  <si>
    <t xml:space="preserve">Rank nationally (by HI)</t>
  </si>
  <si>
    <t xml:space="preserve">Colombo</t>
  </si>
  <si>
    <t xml:space="preserve">Kolonnawa</t>
  </si>
  <si>
    <t xml:space="preserve">Kaduwela</t>
  </si>
  <si>
    <t xml:space="preserve">Homagama</t>
  </si>
  <si>
    <t xml:space="preserve">Hanwella</t>
  </si>
  <si>
    <t xml:space="preserve">Padukka</t>
  </si>
  <si>
    <t xml:space="preserve">Maharagama</t>
  </si>
  <si>
    <t xml:space="preserve">Sri Jayawardanapura</t>
  </si>
  <si>
    <t xml:space="preserve">Thimbirigasyaya</t>
  </si>
  <si>
    <t xml:space="preserve">Dehiwala</t>
  </si>
  <si>
    <t xml:space="preserve">Rathmalana</t>
  </si>
  <si>
    <t xml:space="preserve">Moratuwa</t>
  </si>
  <si>
    <t xml:space="preserve">Kesbewa</t>
  </si>
  <si>
    <t xml:space="preserve">Gampaha</t>
  </si>
  <si>
    <t xml:space="preserve">Negombo</t>
  </si>
  <si>
    <t xml:space="preserve">Katana</t>
  </si>
  <si>
    <t xml:space="preserve">Divulapitiya</t>
  </si>
  <si>
    <t xml:space="preserve">Mirigama</t>
  </si>
  <si>
    <t xml:space="preserve">Minuwangoda</t>
  </si>
  <si>
    <t xml:space="preserve">Wattala</t>
  </si>
  <si>
    <t xml:space="preserve">Ja-Ela</t>
  </si>
  <si>
    <t xml:space="preserve">Attanagalla</t>
  </si>
  <si>
    <t xml:space="preserve">Dompe</t>
  </si>
  <si>
    <t xml:space="preserve">Mahara</t>
  </si>
  <si>
    <t xml:space="preserve">Kelaniya</t>
  </si>
  <si>
    <t xml:space="preserve">Biyagama</t>
  </si>
  <si>
    <t xml:space="preserve">Kalutara</t>
  </si>
  <si>
    <t xml:space="preserve">Panadura</t>
  </si>
  <si>
    <t xml:space="preserve">Bandaragama</t>
  </si>
  <si>
    <t xml:space="preserve">Horana</t>
  </si>
  <si>
    <t xml:space="preserve">Ingiriya</t>
  </si>
  <si>
    <t xml:space="preserve">Bulathsinhala</t>
  </si>
  <si>
    <t xml:space="preserve">Madurawala</t>
  </si>
  <si>
    <t xml:space="preserve">Millaniya</t>
  </si>
  <si>
    <t xml:space="preserve">Kaluthara</t>
  </si>
  <si>
    <t xml:space="preserve">Beruwala</t>
  </si>
  <si>
    <t xml:space="preserve">Dodangoda</t>
  </si>
  <si>
    <t xml:space="preserve">Mathugama</t>
  </si>
  <si>
    <t xml:space="preserve">Agalawatta</t>
  </si>
  <si>
    <t xml:space="preserve">Palindanuwara</t>
  </si>
  <si>
    <t xml:space="preserve">Walallawita</t>
  </si>
  <si>
    <t xml:space="preserve">Kandy</t>
  </si>
  <si>
    <t xml:space="preserve">Thumpane</t>
  </si>
  <si>
    <t xml:space="preserve">Poojapitiya</t>
  </si>
  <si>
    <t xml:space="preserve">Akurana</t>
  </si>
  <si>
    <t xml:space="preserve">Pathadumbara</t>
  </si>
  <si>
    <t xml:space="preserve">Panwila</t>
  </si>
  <si>
    <t xml:space="preserve">Udadumbara</t>
  </si>
  <si>
    <t xml:space="preserve">Minipe</t>
  </si>
  <si>
    <t xml:space="preserve">Medadumbara</t>
  </si>
  <si>
    <t xml:space="preserve">Kundasale</t>
  </si>
  <si>
    <t xml:space="preserve">Gangawata Korale</t>
  </si>
  <si>
    <t xml:space="preserve">Harispattuwa</t>
  </si>
  <si>
    <t xml:space="preserve">Hatharaliyadda</t>
  </si>
  <si>
    <t xml:space="preserve">Yatinuwara</t>
  </si>
  <si>
    <t xml:space="preserve">Udunuwara</t>
  </si>
  <si>
    <t xml:space="preserve">Doluwa</t>
  </si>
  <si>
    <t xml:space="preserve">Pathahewaheta</t>
  </si>
  <si>
    <t xml:space="preserve">Delthota</t>
  </si>
  <si>
    <t xml:space="preserve">Udapalatha</t>
  </si>
  <si>
    <t xml:space="preserve">Ganga Ihala Korale</t>
  </si>
  <si>
    <t xml:space="preserve">Pasbage Korale</t>
  </si>
  <si>
    <t xml:space="preserve">Matale</t>
  </si>
  <si>
    <t xml:space="preserve">Galewela</t>
  </si>
  <si>
    <t xml:space="preserve">Dambulla</t>
  </si>
  <si>
    <t xml:space="preserve">Naula</t>
  </si>
  <si>
    <t xml:space="preserve">Pallepola</t>
  </si>
  <si>
    <t xml:space="preserve">Yatawatta</t>
  </si>
  <si>
    <t xml:space="preserve">Ambanganga Koralaya</t>
  </si>
  <si>
    <t xml:space="preserve">Laggala-Pallegama</t>
  </si>
  <si>
    <t xml:space="preserve">Wilgamuwa</t>
  </si>
  <si>
    <t xml:space="preserve">Rattota</t>
  </si>
  <si>
    <t xml:space="preserve">Ukuwela</t>
  </si>
  <si>
    <t xml:space="preserve">Nuwara Eliya</t>
  </si>
  <si>
    <t xml:space="preserve">Kothmale</t>
  </si>
  <si>
    <t xml:space="preserve">Hanguranketha</t>
  </si>
  <si>
    <t xml:space="preserve">Walapane</t>
  </si>
  <si>
    <t xml:space="preserve">Ambagamuwa</t>
  </si>
  <si>
    <t xml:space="preserve">Galle</t>
  </si>
  <si>
    <t xml:space="preserve">Bentota</t>
  </si>
  <si>
    <t xml:space="preserve">Balapitiya</t>
  </si>
  <si>
    <t xml:space="preserve">Karandeniya</t>
  </si>
  <si>
    <t xml:space="preserve">Elpitiya</t>
  </si>
  <si>
    <t xml:space="preserve">Niyagama</t>
  </si>
  <si>
    <t xml:space="preserve">Thawalama</t>
  </si>
  <si>
    <t xml:space="preserve">Neluwa</t>
  </si>
  <si>
    <t xml:space="preserve">Nagoda</t>
  </si>
  <si>
    <t xml:space="preserve">Baddegama</t>
  </si>
  <si>
    <t xml:space="preserve">Welivitiya-Divithura</t>
  </si>
  <si>
    <t xml:space="preserve">Ambalangoda</t>
  </si>
  <si>
    <t xml:space="preserve">Hikkaduwa</t>
  </si>
  <si>
    <t xml:space="preserve">Galle Four Gravets</t>
  </si>
  <si>
    <t xml:space="preserve">Bope-Poddala</t>
  </si>
  <si>
    <t xml:space="preserve">Akmeemana</t>
  </si>
  <si>
    <t xml:space="preserve">Yakkalamulla</t>
  </si>
  <si>
    <t xml:space="preserve">Imaduwa</t>
  </si>
  <si>
    <t xml:space="preserve">Habaraduwa</t>
  </si>
  <si>
    <t xml:space="preserve">Matara</t>
  </si>
  <si>
    <t xml:space="preserve">Pitabeddara</t>
  </si>
  <si>
    <t xml:space="preserve">Kotapola</t>
  </si>
  <si>
    <t xml:space="preserve">Pasgoda</t>
  </si>
  <si>
    <t xml:space="preserve">Mulatiyana</t>
  </si>
  <si>
    <t xml:space="preserve">Athuraliya</t>
  </si>
  <si>
    <t xml:space="preserve">Akuressa</t>
  </si>
  <si>
    <t xml:space="preserve">Welipitiya</t>
  </si>
  <si>
    <t xml:space="preserve">Malimbada</t>
  </si>
  <si>
    <t xml:space="preserve">Kamburupitiya</t>
  </si>
  <si>
    <t xml:space="preserve">Hakmana</t>
  </si>
  <si>
    <t xml:space="preserve">Kirinda Puhulwella</t>
  </si>
  <si>
    <t xml:space="preserve">Thihagoda</t>
  </si>
  <si>
    <t xml:space="preserve">Weligama</t>
  </si>
  <si>
    <t xml:space="preserve">Matara Four Gravets</t>
  </si>
  <si>
    <t xml:space="preserve">Devinuwara</t>
  </si>
  <si>
    <t xml:space="preserve">Dickwella</t>
  </si>
  <si>
    <t xml:space="preserve">Hambantota</t>
  </si>
  <si>
    <t xml:space="preserve">Sooriyawewa</t>
  </si>
  <si>
    <t xml:space="preserve">Lunugamvehera</t>
  </si>
  <si>
    <t xml:space="preserve">Tissamaharama</t>
  </si>
  <si>
    <t xml:space="preserve">Ambalantota</t>
  </si>
  <si>
    <t xml:space="preserve">Angunukolapelessa</t>
  </si>
  <si>
    <t xml:space="preserve">Weeraketiya</t>
  </si>
  <si>
    <t xml:space="preserve">Katuwana</t>
  </si>
  <si>
    <t xml:space="preserve">Walasmulla</t>
  </si>
  <si>
    <t xml:space="preserve">Okewela</t>
  </si>
  <si>
    <t xml:space="preserve">Beliatta</t>
  </si>
  <si>
    <t xml:space="preserve">Tangalle</t>
  </si>
  <si>
    <t xml:space="preserve">Kurunegala</t>
  </si>
  <si>
    <t xml:space="preserve">Giribawa</t>
  </si>
  <si>
    <t xml:space="preserve">Galgamuwa</t>
  </si>
  <si>
    <t xml:space="preserve">Ehetuwewa</t>
  </si>
  <si>
    <t xml:space="preserve">Ambanpola</t>
  </si>
  <si>
    <t xml:space="preserve">Kotawehera</t>
  </si>
  <si>
    <t xml:space="preserve">Rasnayakapura</t>
  </si>
  <si>
    <t xml:space="preserve">Nikaweratiya</t>
  </si>
  <si>
    <t xml:space="preserve">Mahawa</t>
  </si>
  <si>
    <t xml:space="preserve">Polpithigama</t>
  </si>
  <si>
    <t xml:space="preserve">Ibbagamuwa</t>
  </si>
  <si>
    <t xml:space="preserve">Ganewatta</t>
  </si>
  <si>
    <t xml:space="preserve">Wariyapola</t>
  </si>
  <si>
    <t xml:space="preserve">Kobeigane</t>
  </si>
  <si>
    <t xml:space="preserve">Bingiriya</t>
  </si>
  <si>
    <t xml:space="preserve">Panduwasnuwara</t>
  </si>
  <si>
    <t xml:space="preserve">Katupotha</t>
  </si>
  <si>
    <t xml:space="preserve">Bamunukotuwa</t>
  </si>
  <si>
    <t xml:space="preserve">Maspotha</t>
  </si>
  <si>
    <t xml:space="preserve">Mallawapitiya</t>
  </si>
  <si>
    <t xml:space="preserve">Mawathagama</t>
  </si>
  <si>
    <t xml:space="preserve">Rideegama</t>
  </si>
  <si>
    <t xml:space="preserve">Weerambugedara</t>
  </si>
  <si>
    <t xml:space="preserve">Kuliyapitiya East</t>
  </si>
  <si>
    <t xml:space="preserve">Kuliyapitiya West</t>
  </si>
  <si>
    <t xml:space="preserve">Udubaddawa</t>
  </si>
  <si>
    <t xml:space="preserve">Pannala</t>
  </si>
  <si>
    <t xml:space="preserve">Narammala</t>
  </si>
  <si>
    <t xml:space="preserve">No. of DS divisions on this page</t>
  </si>
  <si>
    <t xml:space="preserve">Sum of DS divisions</t>
  </si>
  <si>
    <t xml:space="preserve">Difference</t>
  </si>
  <si>
    <t xml:space="preserve">Check</t>
  </si>
  <si>
    <t xml:space="preserve">Total</t>
  </si>
  <si>
    <t xml:space="preserve">Source: Department of Census and Statistics, Sri Lanka — "Headcount Index (HI) and Household Population Below Poverty (HPBPL): 2002", transcribed from the table image the user provided.</t>
  </si>
  <si>
    <t xml:space="preserve">HI = percentage of the DS division's household population living below the official poverty line (2002).</t>
  </si>
  <si>
    <t xml:space="preserve">HPBPL = number of people in households below the poverty line.</t>
  </si>
  <si>
    <t xml:space="preserve">Coverage: this page lists DS divisions 1–150 in 10 districts (Colombo to Kurunegala). The 2002 survey excluded the Northern and Eastern provinces.</t>
  </si>
  <si>
    <t xml:space="preserve">Kurunegala: only 28 DS divisions appear on this page; the remaining divisions (27,551 poor people) are on the next page of the source table.</t>
  </si>
  <si>
    <t xml:space="preserve">All other district totals match the sum of their DS divisions exactly, which confirms the transcription.</t>
  </si>
  <si>
    <t xml:space="preserve">Kurunegala HI values are shown to 2 decimals in the source (e.g. 24.92) and are kept as given.</t>
  </si>
  <si>
    <t xml:space="preserve">This is 2002 data — use it for historical comparison, not for current targeting.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</si>
</sst>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#,##0"/>
    <numFmt numFmtId="167" formatCode="#,##0;\-#,##0;\-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7" min="4" style="0" width="14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n">
        <v>1</v>
      </c>
      <c r="B2" s="2" t="s">
        <v>7</v>
      </c>
      <c r="C2" s="2" t="s">
        <v>7</v>
      </c>
      <c r="D2" s="3" t="n">
        <v>0.121</v>
      </c>
      <c r="E2" s="4" t="n">
        <v>39819</v>
      </c>
      <c r="F2" s="2" t="n">
        <f aca="false">COUNTIFS($B$2:$B$151,B2,$D$2:$D$151,"&gt;"&amp;D2)+1</f>
        <v>2</v>
      </c>
      <c r="G2" s="2" t="n">
        <f aca="false">RANK(D2,$D$2:$D$151,0)</f>
        <v>127</v>
      </c>
    </row>
    <row r="3" customFormat="false" ht="15" hidden="false" customHeight="false" outlineLevel="0" collapsed="false">
      <c r="A3" s="2" t="n">
        <v>2</v>
      </c>
      <c r="B3" s="2" t="s">
        <v>7</v>
      </c>
      <c r="C3" s="2" t="s">
        <v>8</v>
      </c>
      <c r="D3" s="3" t="n">
        <v>0.082</v>
      </c>
      <c r="E3" s="4" t="n">
        <v>12292</v>
      </c>
      <c r="F3" s="2" t="n">
        <f aca="false">COUNTIFS($B$2:$B$151,B3,$D$2:$D$151,"&gt;"&amp;D3)+1</f>
        <v>5</v>
      </c>
      <c r="G3" s="2" t="n">
        <f aca="false">RANK(D3,$D$2:$D$151,0)</f>
        <v>135</v>
      </c>
    </row>
    <row r="4" customFormat="false" ht="15" hidden="false" customHeight="false" outlineLevel="0" collapsed="false">
      <c r="A4" s="2" t="n">
        <v>3</v>
      </c>
      <c r="B4" s="2" t="s">
        <v>7</v>
      </c>
      <c r="C4" s="2" t="s">
        <v>9</v>
      </c>
      <c r="D4" s="3" t="n">
        <v>0.06</v>
      </c>
      <c r="E4" s="4" t="n">
        <v>11614</v>
      </c>
      <c r="F4" s="2" t="n">
        <f aca="false">COUNTIFS($B$2:$B$151,B4,$D$2:$D$151,"&gt;"&amp;D4)+1</f>
        <v>7</v>
      </c>
      <c r="G4" s="2" t="n">
        <f aca="false">RANK(D4,$D$2:$D$151,0)</f>
        <v>144</v>
      </c>
    </row>
    <row r="5" customFormat="false" ht="15" hidden="false" customHeight="false" outlineLevel="0" collapsed="false">
      <c r="A5" s="2" t="n">
        <v>4</v>
      </c>
      <c r="B5" s="2" t="s">
        <v>7</v>
      </c>
      <c r="C5" s="2" t="s">
        <v>10</v>
      </c>
      <c r="D5" s="3" t="n">
        <v>0.064</v>
      </c>
      <c r="E5" s="4" t="n">
        <v>10797</v>
      </c>
      <c r="F5" s="2" t="n">
        <f aca="false">COUNTIFS($B$2:$B$151,B5,$D$2:$D$151,"&gt;"&amp;D5)+1</f>
        <v>6</v>
      </c>
      <c r="G5" s="2" t="n">
        <f aca="false">RANK(D5,$D$2:$D$151,0)</f>
        <v>142</v>
      </c>
    </row>
    <row r="6" customFormat="false" ht="15" hidden="false" customHeight="false" outlineLevel="0" collapsed="false">
      <c r="A6" s="2" t="n">
        <v>5</v>
      </c>
      <c r="B6" s="2" t="s">
        <v>7</v>
      </c>
      <c r="C6" s="2" t="s">
        <v>11</v>
      </c>
      <c r="D6" s="3" t="n">
        <v>0.142</v>
      </c>
      <c r="E6" s="4" t="n">
        <v>12562</v>
      </c>
      <c r="F6" s="2" t="n">
        <f aca="false">COUNTIFS($B$2:$B$151,B6,$D$2:$D$151,"&gt;"&amp;D6)+1</f>
        <v>1</v>
      </c>
      <c r="G6" s="2" t="n">
        <f aca="false">RANK(D6,$D$2:$D$151,0)</f>
        <v>123</v>
      </c>
    </row>
    <row r="7" customFormat="false" ht="15" hidden="false" customHeight="false" outlineLevel="0" collapsed="false">
      <c r="A7" s="2" t="n">
        <v>6</v>
      </c>
      <c r="B7" s="2" t="s">
        <v>7</v>
      </c>
      <c r="C7" s="2" t="s">
        <v>12</v>
      </c>
      <c r="D7" s="3" t="n">
        <v>0.107</v>
      </c>
      <c r="E7" s="4" t="n">
        <v>5439</v>
      </c>
      <c r="F7" s="2" t="n">
        <f aca="false">COUNTIFS($B$2:$B$151,B7,$D$2:$D$151,"&gt;"&amp;D7)+1</f>
        <v>3</v>
      </c>
      <c r="G7" s="2" t="n">
        <f aca="false">RANK(D7,$D$2:$D$151,0)</f>
        <v>130</v>
      </c>
    </row>
    <row r="8" customFormat="false" ht="15" hidden="false" customHeight="false" outlineLevel="0" collapsed="false">
      <c r="A8" s="2" t="n">
        <v>7</v>
      </c>
      <c r="B8" s="2" t="s">
        <v>7</v>
      </c>
      <c r="C8" s="2" t="s">
        <v>13</v>
      </c>
      <c r="D8" s="3" t="n">
        <v>0.035</v>
      </c>
      <c r="E8" s="4" t="n">
        <v>5973</v>
      </c>
      <c r="F8" s="2" t="n">
        <f aca="false">COUNTIFS($B$2:$B$151,B8,$D$2:$D$151,"&gt;"&amp;D8)+1</f>
        <v>11</v>
      </c>
      <c r="G8" s="2" t="n">
        <f aca="false">RANK(D8,$D$2:$D$151,0)</f>
        <v>148</v>
      </c>
    </row>
    <row r="9" customFormat="false" ht="15" hidden="false" customHeight="false" outlineLevel="0" collapsed="false">
      <c r="A9" s="2" t="n">
        <v>8</v>
      </c>
      <c r="B9" s="2" t="s">
        <v>7</v>
      </c>
      <c r="C9" s="2" t="s">
        <v>14</v>
      </c>
      <c r="D9" s="3" t="n">
        <v>0.027</v>
      </c>
      <c r="E9" s="4" t="n">
        <v>2750</v>
      </c>
      <c r="F9" s="2" t="n">
        <f aca="false">COUNTIFS($B$2:$B$151,B9,$D$2:$D$151,"&gt;"&amp;D9)+1</f>
        <v>12</v>
      </c>
      <c r="G9" s="2" t="n">
        <f aca="false">RANK(D9,$D$2:$D$151,0)</f>
        <v>149</v>
      </c>
    </row>
    <row r="10" customFormat="false" ht="15" hidden="false" customHeight="false" outlineLevel="0" collapsed="false">
      <c r="A10" s="2" t="n">
        <v>9</v>
      </c>
      <c r="B10" s="2" t="s">
        <v>7</v>
      </c>
      <c r="C10" s="2" t="s">
        <v>15</v>
      </c>
      <c r="D10" s="3" t="n">
        <v>0.044</v>
      </c>
      <c r="E10" s="4" t="n">
        <v>9672</v>
      </c>
      <c r="F10" s="2" t="n">
        <f aca="false">COUNTIFS($B$2:$B$151,B10,$D$2:$D$151,"&gt;"&amp;D10)+1</f>
        <v>9</v>
      </c>
      <c r="G10" s="2" t="n">
        <f aca="false">RANK(D10,$D$2:$D$151,0)</f>
        <v>146</v>
      </c>
    </row>
    <row r="11" customFormat="false" ht="15" hidden="false" customHeight="false" outlineLevel="0" collapsed="false">
      <c r="A11" s="2" t="n">
        <v>10</v>
      </c>
      <c r="B11" s="2" t="s">
        <v>7</v>
      </c>
      <c r="C11" s="2" t="s">
        <v>16</v>
      </c>
      <c r="D11" s="3" t="n">
        <v>0.021</v>
      </c>
      <c r="E11" s="4" t="n">
        <v>1896</v>
      </c>
      <c r="F11" s="2" t="n">
        <f aca="false">COUNTIFS($B$2:$B$151,B11,$D$2:$D$151,"&gt;"&amp;D11)+1</f>
        <v>13</v>
      </c>
      <c r="G11" s="2" t="n">
        <f aca="false">RANK(D11,$D$2:$D$151,0)</f>
        <v>150</v>
      </c>
    </row>
    <row r="12" customFormat="false" ht="15" hidden="false" customHeight="false" outlineLevel="0" collapsed="false">
      <c r="A12" s="2" t="n">
        <v>11</v>
      </c>
      <c r="B12" s="2" t="s">
        <v>7</v>
      </c>
      <c r="C12" s="2" t="s">
        <v>17</v>
      </c>
      <c r="D12" s="3" t="n">
        <v>0.042</v>
      </c>
      <c r="E12" s="4" t="n">
        <v>4058</v>
      </c>
      <c r="F12" s="2" t="n">
        <f aca="false">COUNTIFS($B$2:$B$151,B12,$D$2:$D$151,"&gt;"&amp;D12)+1</f>
        <v>10</v>
      </c>
      <c r="G12" s="2" t="n">
        <f aca="false">RANK(D12,$D$2:$D$151,0)</f>
        <v>147</v>
      </c>
    </row>
    <row r="13" customFormat="false" ht="15" hidden="false" customHeight="false" outlineLevel="0" collapsed="false">
      <c r="A13" s="2" t="n">
        <v>12</v>
      </c>
      <c r="B13" s="2" t="s">
        <v>7</v>
      </c>
      <c r="C13" s="2" t="s">
        <v>18</v>
      </c>
      <c r="D13" s="3" t="n">
        <v>0.103</v>
      </c>
      <c r="E13" s="4" t="n">
        <v>16908</v>
      </c>
      <c r="F13" s="2" t="n">
        <f aca="false">COUNTIFS($B$2:$B$151,B13,$D$2:$D$151,"&gt;"&amp;D13)+1</f>
        <v>4</v>
      </c>
      <c r="G13" s="2" t="n">
        <f aca="false">RANK(D13,$D$2:$D$151,0)</f>
        <v>131</v>
      </c>
    </row>
    <row r="14" customFormat="false" ht="15" hidden="false" customHeight="false" outlineLevel="0" collapsed="false">
      <c r="A14" s="2" t="n">
        <v>13</v>
      </c>
      <c r="B14" s="2" t="s">
        <v>7</v>
      </c>
      <c r="C14" s="2" t="s">
        <v>19</v>
      </c>
      <c r="D14" s="3" t="n">
        <v>0.052</v>
      </c>
      <c r="E14" s="4" t="n">
        <v>10326</v>
      </c>
      <c r="F14" s="2" t="n">
        <f aca="false">COUNTIFS($B$2:$B$151,B14,$D$2:$D$151,"&gt;"&amp;D14)+1</f>
        <v>8</v>
      </c>
      <c r="G14" s="2" t="n">
        <f aca="false">RANK(D14,$D$2:$D$151,0)</f>
        <v>145</v>
      </c>
    </row>
    <row r="15" customFormat="false" ht="15" hidden="false" customHeight="false" outlineLevel="0" collapsed="false">
      <c r="A15" s="2" t="n">
        <v>14</v>
      </c>
      <c r="B15" s="2" t="s">
        <v>20</v>
      </c>
      <c r="C15" s="2" t="s">
        <v>21</v>
      </c>
      <c r="D15" s="3" t="n">
        <v>0.071</v>
      </c>
      <c r="E15" s="4" t="n">
        <v>9625</v>
      </c>
      <c r="F15" s="2" t="n">
        <f aca="false">COUNTIFS($B$2:$B$151,B15,$D$2:$D$151,"&gt;"&amp;D15)+1</f>
        <v>11</v>
      </c>
      <c r="G15" s="2" t="n">
        <f aca="false">RANK(D15,$D$2:$D$151,0)</f>
        <v>140</v>
      </c>
    </row>
    <row r="16" customFormat="false" ht="15" hidden="false" customHeight="false" outlineLevel="0" collapsed="false">
      <c r="A16" s="2" t="n">
        <v>15</v>
      </c>
      <c r="B16" s="2" t="s">
        <v>20</v>
      </c>
      <c r="C16" s="2" t="s">
        <v>22</v>
      </c>
      <c r="D16" s="3" t="n">
        <v>0.077</v>
      </c>
      <c r="E16" s="4" t="n">
        <v>14089</v>
      </c>
      <c r="F16" s="2" t="n">
        <f aca="false">COUNTIFS($B$2:$B$151,B16,$D$2:$D$151,"&gt;"&amp;D16)+1</f>
        <v>10</v>
      </c>
      <c r="G16" s="2" t="n">
        <f aca="false">RANK(D16,$D$2:$D$151,0)</f>
        <v>138</v>
      </c>
    </row>
    <row r="17" customFormat="false" ht="15" hidden="false" customHeight="false" outlineLevel="0" collapsed="false">
      <c r="A17" s="2" t="n">
        <v>16</v>
      </c>
      <c r="B17" s="2" t="s">
        <v>20</v>
      </c>
      <c r="C17" s="2" t="s">
        <v>23</v>
      </c>
      <c r="D17" s="3" t="n">
        <v>0.137</v>
      </c>
      <c r="E17" s="4" t="n">
        <v>17022</v>
      </c>
      <c r="F17" s="2" t="n">
        <f aca="false">COUNTIFS($B$2:$B$151,B17,$D$2:$D$151,"&gt;"&amp;D17)+1</f>
        <v>4</v>
      </c>
      <c r="G17" s="2" t="n">
        <f aca="false">RANK(D17,$D$2:$D$151,0)</f>
        <v>124</v>
      </c>
    </row>
    <row r="18" customFormat="false" ht="15" hidden="false" customHeight="false" outlineLevel="0" collapsed="false">
      <c r="A18" s="2" t="n">
        <v>17</v>
      </c>
      <c r="B18" s="2" t="s">
        <v>20</v>
      </c>
      <c r="C18" s="2" t="s">
        <v>24</v>
      </c>
      <c r="D18" s="3" t="n">
        <v>0.182</v>
      </c>
      <c r="E18" s="4" t="n">
        <v>25296</v>
      </c>
      <c r="F18" s="2" t="n">
        <f aca="false">COUNTIFS($B$2:$B$151,B18,$D$2:$D$151,"&gt;"&amp;D18)+1</f>
        <v>2</v>
      </c>
      <c r="G18" s="2" t="n">
        <f aca="false">RANK(D18,$D$2:$D$151,0)</f>
        <v>111</v>
      </c>
    </row>
    <row r="19" customFormat="false" ht="15" hidden="false" customHeight="false" outlineLevel="0" collapsed="false">
      <c r="A19" s="2" t="n">
        <v>18</v>
      </c>
      <c r="B19" s="2" t="s">
        <v>20</v>
      </c>
      <c r="C19" s="2" t="s">
        <v>25</v>
      </c>
      <c r="D19" s="3" t="n">
        <v>0.125</v>
      </c>
      <c r="E19" s="4" t="n">
        <v>18424</v>
      </c>
      <c r="F19" s="2" t="n">
        <f aca="false">COUNTIFS($B$2:$B$151,B19,$D$2:$D$151,"&gt;"&amp;D19)+1</f>
        <v>5</v>
      </c>
      <c r="G19" s="2" t="n">
        <f aca="false">RANK(D19,$D$2:$D$151,0)</f>
        <v>125</v>
      </c>
    </row>
    <row r="20" customFormat="false" ht="15" hidden="false" customHeight="false" outlineLevel="0" collapsed="false">
      <c r="A20" s="2" t="n">
        <v>19</v>
      </c>
      <c r="B20" s="2" t="s">
        <v>20</v>
      </c>
      <c r="C20" s="2" t="s">
        <v>26</v>
      </c>
      <c r="D20" s="3" t="n">
        <v>0.061</v>
      </c>
      <c r="E20" s="4" t="n">
        <v>9089</v>
      </c>
      <c r="F20" s="2" t="n">
        <f aca="false">COUNTIFS($B$2:$B$151,B20,$D$2:$D$151,"&gt;"&amp;D20)+1</f>
        <v>13</v>
      </c>
      <c r="G20" s="2" t="n">
        <f aca="false">RANK(D20,$D$2:$D$151,0)</f>
        <v>143</v>
      </c>
    </row>
    <row r="21" customFormat="false" ht="15" hidden="false" customHeight="false" outlineLevel="0" collapsed="false">
      <c r="A21" s="2" t="n">
        <v>20</v>
      </c>
      <c r="B21" s="2" t="s">
        <v>20</v>
      </c>
      <c r="C21" s="2" t="s">
        <v>27</v>
      </c>
      <c r="D21" s="3" t="n">
        <v>0.078</v>
      </c>
      <c r="E21" s="4" t="n">
        <v>13313</v>
      </c>
      <c r="F21" s="2" t="n">
        <f aca="false">COUNTIFS($B$2:$B$151,B21,$D$2:$D$151,"&gt;"&amp;D21)+1</f>
        <v>9</v>
      </c>
      <c r="G21" s="2" t="n">
        <f aca="false">RANK(D21,$D$2:$D$151,0)</f>
        <v>137</v>
      </c>
    </row>
    <row r="22" customFormat="false" ht="15" hidden="false" customHeight="false" outlineLevel="0" collapsed="false">
      <c r="A22" s="2" t="n">
        <v>21</v>
      </c>
      <c r="B22" s="2" t="s">
        <v>20</v>
      </c>
      <c r="C22" s="2" t="s">
        <v>20</v>
      </c>
      <c r="D22" s="3" t="n">
        <v>0.099</v>
      </c>
      <c r="E22" s="4" t="n">
        <v>16276</v>
      </c>
      <c r="F22" s="2" t="n">
        <f aca="false">COUNTIFS($B$2:$B$151,B22,$D$2:$D$151,"&gt;"&amp;D22)+1</f>
        <v>8</v>
      </c>
      <c r="G22" s="2" t="n">
        <f aca="false">RANK(D22,$D$2:$D$151,0)</f>
        <v>133</v>
      </c>
    </row>
    <row r="23" customFormat="false" ht="15" hidden="false" customHeight="false" outlineLevel="0" collapsed="false">
      <c r="A23" s="2" t="n">
        <v>22</v>
      </c>
      <c r="B23" s="2" t="s">
        <v>20</v>
      </c>
      <c r="C23" s="2" t="s">
        <v>28</v>
      </c>
      <c r="D23" s="3" t="n">
        <v>0.154</v>
      </c>
      <c r="E23" s="4" t="n">
        <v>23100</v>
      </c>
      <c r="F23" s="2" t="n">
        <f aca="false">COUNTIFS($B$2:$B$151,B23,$D$2:$D$151,"&gt;"&amp;D23)+1</f>
        <v>3</v>
      </c>
      <c r="G23" s="2" t="n">
        <f aca="false">RANK(D23,$D$2:$D$151,0)</f>
        <v>121</v>
      </c>
    </row>
    <row r="24" customFormat="false" ht="15" hidden="false" customHeight="false" outlineLevel="0" collapsed="false">
      <c r="A24" s="2" t="n">
        <v>23</v>
      </c>
      <c r="B24" s="2" t="s">
        <v>20</v>
      </c>
      <c r="C24" s="2" t="s">
        <v>29</v>
      </c>
      <c r="D24" s="3" t="n">
        <v>0.211</v>
      </c>
      <c r="E24" s="4" t="n">
        <v>26544</v>
      </c>
      <c r="F24" s="2" t="n">
        <f aca="false">COUNTIFS($B$2:$B$151,B24,$D$2:$D$151,"&gt;"&amp;D24)+1</f>
        <v>1</v>
      </c>
      <c r="G24" s="2" t="n">
        <f aca="false">RANK(D24,$D$2:$D$151,0)</f>
        <v>90</v>
      </c>
    </row>
    <row r="25" customFormat="false" ht="15" hidden="false" customHeight="false" outlineLevel="0" collapsed="false">
      <c r="A25" s="2" t="n">
        <v>24</v>
      </c>
      <c r="B25" s="2" t="s">
        <v>20</v>
      </c>
      <c r="C25" s="2" t="s">
        <v>30</v>
      </c>
      <c r="D25" s="3" t="n">
        <v>0.121</v>
      </c>
      <c r="E25" s="4" t="n">
        <v>20438</v>
      </c>
      <c r="F25" s="2" t="n">
        <f aca="false">COUNTIFS($B$2:$B$151,B25,$D$2:$D$151,"&gt;"&amp;D25)+1</f>
        <v>6</v>
      </c>
      <c r="G25" s="2" t="n">
        <f aca="false">RANK(D25,$D$2:$D$151,0)</f>
        <v>127</v>
      </c>
    </row>
    <row r="26" customFormat="false" ht="15" hidden="false" customHeight="false" outlineLevel="0" collapsed="false">
      <c r="A26" s="2" t="n">
        <v>25</v>
      </c>
      <c r="B26" s="2" t="s">
        <v>20</v>
      </c>
      <c r="C26" s="2" t="s">
        <v>31</v>
      </c>
      <c r="D26" s="3" t="n">
        <v>0.069</v>
      </c>
      <c r="E26" s="4" t="n">
        <v>8556</v>
      </c>
      <c r="F26" s="2" t="n">
        <f aca="false">COUNTIFS($B$2:$B$151,B26,$D$2:$D$151,"&gt;"&amp;D26)+1</f>
        <v>12</v>
      </c>
      <c r="G26" s="2" t="n">
        <f aca="false">RANK(D26,$D$2:$D$151,0)</f>
        <v>141</v>
      </c>
    </row>
    <row r="27" customFormat="false" ht="15" hidden="false" customHeight="false" outlineLevel="0" collapsed="false">
      <c r="A27" s="2" t="n">
        <v>26</v>
      </c>
      <c r="B27" s="2" t="s">
        <v>20</v>
      </c>
      <c r="C27" s="2" t="s">
        <v>32</v>
      </c>
      <c r="D27" s="3" t="n">
        <v>0.113</v>
      </c>
      <c r="E27" s="4" t="n">
        <v>16675</v>
      </c>
      <c r="F27" s="2" t="n">
        <f aca="false">COUNTIFS($B$2:$B$151,B27,$D$2:$D$151,"&gt;"&amp;D27)+1</f>
        <v>7</v>
      </c>
      <c r="G27" s="2" t="n">
        <f aca="false">RANK(D27,$D$2:$D$151,0)</f>
        <v>129</v>
      </c>
    </row>
    <row r="28" customFormat="false" ht="15" hidden="false" customHeight="false" outlineLevel="0" collapsed="false">
      <c r="A28" s="2" t="n">
        <v>27</v>
      </c>
      <c r="B28" s="2" t="s">
        <v>33</v>
      </c>
      <c r="C28" s="2" t="s">
        <v>34</v>
      </c>
      <c r="D28" s="3" t="n">
        <v>0.074</v>
      </c>
      <c r="E28" s="4" t="n">
        <v>11571</v>
      </c>
      <c r="F28" s="2" t="n">
        <f aca="false">COUNTIFS($B$2:$B$151,B28,$D$2:$D$151,"&gt;"&amp;D28)+1</f>
        <v>14</v>
      </c>
      <c r="G28" s="2" t="n">
        <f aca="false">RANK(D28,$D$2:$D$151,0)</f>
        <v>139</v>
      </c>
    </row>
    <row r="29" customFormat="false" ht="15" hidden="false" customHeight="false" outlineLevel="0" collapsed="false">
      <c r="A29" s="2" t="n">
        <v>28</v>
      </c>
      <c r="B29" s="2" t="s">
        <v>33</v>
      </c>
      <c r="C29" s="2" t="s">
        <v>35</v>
      </c>
      <c r="D29" s="3" t="n">
        <v>0.082</v>
      </c>
      <c r="E29" s="4" t="n">
        <v>6854</v>
      </c>
      <c r="F29" s="2" t="n">
        <f aca="false">COUNTIFS($B$2:$B$151,B29,$D$2:$D$151,"&gt;"&amp;D29)+1</f>
        <v>13</v>
      </c>
      <c r="G29" s="2" t="n">
        <f aca="false">RANK(D29,$D$2:$D$151,0)</f>
        <v>135</v>
      </c>
    </row>
    <row r="30" customFormat="false" ht="15" hidden="false" customHeight="false" outlineLevel="0" collapsed="false">
      <c r="A30" s="2" t="n">
        <v>29</v>
      </c>
      <c r="B30" s="2" t="s">
        <v>33</v>
      </c>
      <c r="C30" s="2" t="s">
        <v>36</v>
      </c>
      <c r="D30" s="3" t="n">
        <v>0.084</v>
      </c>
      <c r="E30" s="4" t="n">
        <v>7275</v>
      </c>
      <c r="F30" s="2" t="n">
        <f aca="false">COUNTIFS($B$2:$B$151,B30,$D$2:$D$151,"&gt;"&amp;D30)+1</f>
        <v>12</v>
      </c>
      <c r="G30" s="2" t="n">
        <f aca="false">RANK(D30,$D$2:$D$151,0)</f>
        <v>134</v>
      </c>
    </row>
    <row r="31" customFormat="false" ht="15" hidden="false" customHeight="false" outlineLevel="0" collapsed="false">
      <c r="A31" s="2" t="n">
        <v>30</v>
      </c>
      <c r="B31" s="2" t="s">
        <v>33</v>
      </c>
      <c r="C31" s="2" t="s">
        <v>37</v>
      </c>
      <c r="D31" s="3" t="n">
        <v>0.174</v>
      </c>
      <c r="E31" s="4" t="n">
        <v>7663</v>
      </c>
      <c r="F31" s="2" t="n">
        <f aca="false">COUNTIFS($B$2:$B$151,B31,$D$2:$D$151,"&gt;"&amp;D31)+1</f>
        <v>9</v>
      </c>
      <c r="G31" s="2" t="n">
        <f aca="false">RANK(D31,$D$2:$D$151,0)</f>
        <v>115</v>
      </c>
    </row>
    <row r="32" customFormat="false" ht="15" hidden="false" customHeight="false" outlineLevel="0" collapsed="false">
      <c r="A32" s="2" t="n">
        <v>31</v>
      </c>
      <c r="B32" s="2" t="s">
        <v>33</v>
      </c>
      <c r="C32" s="2" t="s">
        <v>38</v>
      </c>
      <c r="D32" s="3" t="n">
        <v>0.274</v>
      </c>
      <c r="E32" s="4" t="n">
        <v>16042</v>
      </c>
      <c r="F32" s="2" t="n">
        <f aca="false">COUNTIFS($B$2:$B$151,B32,$D$2:$D$151,"&gt;"&amp;D32)+1</f>
        <v>4</v>
      </c>
      <c r="G32" s="2" t="n">
        <f aca="false">RANK(D32,$D$2:$D$151,0)</f>
        <v>36</v>
      </c>
    </row>
    <row r="33" customFormat="false" ht="15" hidden="false" customHeight="false" outlineLevel="0" collapsed="false">
      <c r="A33" s="2" t="n">
        <v>32</v>
      </c>
      <c r="B33" s="2" t="s">
        <v>33</v>
      </c>
      <c r="C33" s="2" t="s">
        <v>39</v>
      </c>
      <c r="D33" s="3" t="n">
        <v>0.186</v>
      </c>
      <c r="E33" s="4" t="n">
        <v>5393</v>
      </c>
      <c r="F33" s="2" t="n">
        <f aca="false">COUNTIFS($B$2:$B$151,B33,$D$2:$D$151,"&gt;"&amp;D33)+1</f>
        <v>8</v>
      </c>
      <c r="G33" s="2" t="n">
        <f aca="false">RANK(D33,$D$2:$D$151,0)</f>
        <v>110</v>
      </c>
    </row>
    <row r="34" customFormat="false" ht="15" hidden="false" customHeight="false" outlineLevel="0" collapsed="false">
      <c r="A34" s="2" t="n">
        <v>33</v>
      </c>
      <c r="B34" s="2" t="s">
        <v>33</v>
      </c>
      <c r="C34" s="2" t="s">
        <v>40</v>
      </c>
      <c r="D34" s="3" t="n">
        <v>0.169</v>
      </c>
      <c r="E34" s="4" t="n">
        <v>7332</v>
      </c>
      <c r="F34" s="2" t="n">
        <f aca="false">COUNTIFS($B$2:$B$151,B34,$D$2:$D$151,"&gt;"&amp;D34)+1</f>
        <v>10</v>
      </c>
      <c r="G34" s="2" t="n">
        <f aca="false">RANK(D34,$D$2:$D$151,0)</f>
        <v>116</v>
      </c>
    </row>
    <row r="35" customFormat="false" ht="15" hidden="false" customHeight="false" outlineLevel="0" collapsed="false">
      <c r="A35" s="2" t="n">
        <v>34</v>
      </c>
      <c r="B35" s="2" t="s">
        <v>33</v>
      </c>
      <c r="C35" s="2" t="s">
        <v>41</v>
      </c>
      <c r="D35" s="3" t="n">
        <v>0.125</v>
      </c>
      <c r="E35" s="4" t="n">
        <v>16642</v>
      </c>
      <c r="F35" s="2" t="n">
        <f aca="false">COUNTIFS($B$2:$B$151,B35,$D$2:$D$151,"&gt;"&amp;D35)+1</f>
        <v>11</v>
      </c>
      <c r="G35" s="2" t="n">
        <f aca="false">RANK(D35,$D$2:$D$151,0)</f>
        <v>125</v>
      </c>
    </row>
    <row r="36" customFormat="false" ht="15" hidden="false" customHeight="false" outlineLevel="0" collapsed="false">
      <c r="A36" s="2" t="n">
        <v>35</v>
      </c>
      <c r="B36" s="2" t="s">
        <v>33</v>
      </c>
      <c r="C36" s="2" t="s">
        <v>42</v>
      </c>
      <c r="D36" s="3" t="n">
        <v>0.221</v>
      </c>
      <c r="E36" s="4" t="n">
        <v>30671</v>
      </c>
      <c r="F36" s="2" t="n">
        <f aca="false">COUNTIFS($B$2:$B$151,B36,$D$2:$D$151,"&gt;"&amp;D36)+1</f>
        <v>6</v>
      </c>
      <c r="G36" s="2" t="n">
        <f aca="false">RANK(D36,$D$2:$D$151,0)</f>
        <v>75</v>
      </c>
    </row>
    <row r="37" customFormat="false" ht="15" hidden="false" customHeight="false" outlineLevel="0" collapsed="false">
      <c r="A37" s="2" t="n">
        <v>36</v>
      </c>
      <c r="B37" s="2" t="s">
        <v>33</v>
      </c>
      <c r="C37" s="2" t="s">
        <v>43</v>
      </c>
      <c r="D37" s="3" t="n">
        <v>0.212</v>
      </c>
      <c r="E37" s="4" t="n">
        <v>11441</v>
      </c>
      <c r="F37" s="2" t="n">
        <f aca="false">COUNTIFS($B$2:$B$151,B37,$D$2:$D$151,"&gt;"&amp;D37)+1</f>
        <v>7</v>
      </c>
      <c r="G37" s="2" t="n">
        <f aca="false">RANK(D37,$D$2:$D$151,0)</f>
        <v>89</v>
      </c>
    </row>
    <row r="38" customFormat="false" ht="15" hidden="false" customHeight="false" outlineLevel="0" collapsed="false">
      <c r="A38" s="2" t="n">
        <v>37</v>
      </c>
      <c r="B38" s="2" t="s">
        <v>33</v>
      </c>
      <c r="C38" s="2" t="s">
        <v>44</v>
      </c>
      <c r="D38" s="3" t="n">
        <v>0.294</v>
      </c>
      <c r="E38" s="4" t="n">
        <v>20903</v>
      </c>
      <c r="F38" s="2" t="n">
        <f aca="false">COUNTIFS($B$2:$B$151,B38,$D$2:$D$151,"&gt;"&amp;D38)+1</f>
        <v>3</v>
      </c>
      <c r="G38" s="2" t="n">
        <f aca="false">RANK(D38,$D$2:$D$151,0)</f>
        <v>28</v>
      </c>
    </row>
    <row r="39" customFormat="false" ht="15" hidden="false" customHeight="false" outlineLevel="0" collapsed="false">
      <c r="A39" s="2" t="n">
        <v>38</v>
      </c>
      <c r="B39" s="2" t="s">
        <v>33</v>
      </c>
      <c r="C39" s="2" t="s">
        <v>45</v>
      </c>
      <c r="D39" s="3" t="n">
        <v>0.264</v>
      </c>
      <c r="E39" s="4" t="n">
        <v>8683</v>
      </c>
      <c r="F39" s="2" t="n">
        <f aca="false">COUNTIFS($B$2:$B$151,B39,$D$2:$D$151,"&gt;"&amp;D39)+1</f>
        <v>5</v>
      </c>
      <c r="G39" s="2" t="n">
        <f aca="false">RANK(D39,$D$2:$D$151,0)</f>
        <v>46</v>
      </c>
    </row>
    <row r="40" customFormat="false" ht="15" hidden="false" customHeight="false" outlineLevel="0" collapsed="false">
      <c r="A40" s="2" t="n">
        <v>39</v>
      </c>
      <c r="B40" s="2" t="s">
        <v>33</v>
      </c>
      <c r="C40" s="2" t="s">
        <v>46</v>
      </c>
      <c r="D40" s="3" t="n">
        <v>0.307</v>
      </c>
      <c r="E40" s="4" t="n">
        <v>13599</v>
      </c>
      <c r="F40" s="2" t="n">
        <f aca="false">COUNTIFS($B$2:$B$151,B40,$D$2:$D$151,"&gt;"&amp;D40)+1</f>
        <v>2</v>
      </c>
      <c r="G40" s="2" t="n">
        <f aca="false">RANK(D40,$D$2:$D$151,0)</f>
        <v>23</v>
      </c>
    </row>
    <row r="41" customFormat="false" ht="15" hidden="false" customHeight="false" outlineLevel="0" collapsed="false">
      <c r="A41" s="2" t="n">
        <v>40</v>
      </c>
      <c r="B41" s="2" t="s">
        <v>33</v>
      </c>
      <c r="C41" s="2" t="s">
        <v>47</v>
      </c>
      <c r="D41" s="3" t="n">
        <v>0.314</v>
      </c>
      <c r="E41" s="4" t="n">
        <v>15535</v>
      </c>
      <c r="F41" s="2" t="n">
        <f aca="false">COUNTIFS($B$2:$B$151,B41,$D$2:$D$151,"&gt;"&amp;D41)+1</f>
        <v>1</v>
      </c>
      <c r="G41" s="2" t="n">
        <f aca="false">RANK(D41,$D$2:$D$151,0)</f>
        <v>20</v>
      </c>
    </row>
    <row r="42" customFormat="false" ht="15" hidden="false" customHeight="false" outlineLevel="0" collapsed="false">
      <c r="A42" s="2" t="n">
        <v>41</v>
      </c>
      <c r="B42" s="2" t="s">
        <v>48</v>
      </c>
      <c r="C42" s="2" t="s">
        <v>49</v>
      </c>
      <c r="D42" s="3" t="n">
        <v>0.244</v>
      </c>
      <c r="E42" s="4" t="n">
        <v>8502</v>
      </c>
      <c r="F42" s="2" t="n">
        <f aca="false">COUNTIFS($B$2:$B$151,B42,$D$2:$D$151,"&gt;"&amp;D42)+1</f>
        <v>13</v>
      </c>
      <c r="G42" s="2" t="n">
        <f aca="false">RANK(D42,$D$2:$D$151,0)</f>
        <v>57</v>
      </c>
    </row>
    <row r="43" customFormat="false" ht="15" hidden="false" customHeight="false" outlineLevel="0" collapsed="false">
      <c r="A43" s="2" t="n">
        <v>42</v>
      </c>
      <c r="B43" s="2" t="s">
        <v>48</v>
      </c>
      <c r="C43" s="2" t="s">
        <v>50</v>
      </c>
      <c r="D43" s="3" t="n">
        <v>0.247</v>
      </c>
      <c r="E43" s="4" t="n">
        <v>13010</v>
      </c>
      <c r="F43" s="2" t="n">
        <f aca="false">COUNTIFS($B$2:$B$151,B43,$D$2:$D$151,"&gt;"&amp;D43)+1</f>
        <v>12</v>
      </c>
      <c r="G43" s="2" t="n">
        <f aca="false">RANK(D43,$D$2:$D$151,0)</f>
        <v>56</v>
      </c>
    </row>
    <row r="44" customFormat="false" ht="15" hidden="false" customHeight="false" outlineLevel="0" collapsed="false">
      <c r="A44" s="2" t="n">
        <v>43</v>
      </c>
      <c r="B44" s="2" t="s">
        <v>48</v>
      </c>
      <c r="C44" s="2" t="s">
        <v>51</v>
      </c>
      <c r="D44" s="3" t="n">
        <v>0.274</v>
      </c>
      <c r="E44" s="4" t="n">
        <v>14882</v>
      </c>
      <c r="F44" s="2" t="n">
        <f aca="false">COUNTIFS($B$2:$B$151,B44,$D$2:$D$151,"&gt;"&amp;D44)+1</f>
        <v>8</v>
      </c>
      <c r="G44" s="2" t="n">
        <f aca="false">RANK(D44,$D$2:$D$151,0)</f>
        <v>36</v>
      </c>
    </row>
    <row r="45" customFormat="false" ht="15" hidden="false" customHeight="false" outlineLevel="0" collapsed="false">
      <c r="A45" s="2" t="n">
        <v>44</v>
      </c>
      <c r="B45" s="2" t="s">
        <v>48</v>
      </c>
      <c r="C45" s="2" t="s">
        <v>52</v>
      </c>
      <c r="D45" s="3" t="n">
        <v>0.192</v>
      </c>
      <c r="E45" s="4" t="n">
        <v>15157</v>
      </c>
      <c r="F45" s="2" t="n">
        <f aca="false">COUNTIFS($B$2:$B$151,B45,$D$2:$D$151,"&gt;"&amp;D45)+1</f>
        <v>17</v>
      </c>
      <c r="G45" s="2" t="n">
        <f aca="false">RANK(D45,$D$2:$D$151,0)</f>
        <v>104</v>
      </c>
    </row>
    <row r="46" customFormat="false" ht="15" hidden="false" customHeight="false" outlineLevel="0" collapsed="false">
      <c r="A46" s="2" t="n">
        <v>45</v>
      </c>
      <c r="B46" s="2" t="s">
        <v>48</v>
      </c>
      <c r="C46" s="2" t="s">
        <v>53</v>
      </c>
      <c r="D46" s="3" t="n">
        <v>0.338</v>
      </c>
      <c r="E46" s="4" t="n">
        <v>8914</v>
      </c>
      <c r="F46" s="2" t="n">
        <f aca="false">COUNTIFS($B$2:$B$151,B46,$D$2:$D$151,"&gt;"&amp;D46)+1</f>
        <v>4</v>
      </c>
      <c r="G46" s="2" t="n">
        <f aca="false">RANK(D46,$D$2:$D$151,0)</f>
        <v>10</v>
      </c>
    </row>
    <row r="47" customFormat="false" ht="15" hidden="false" customHeight="false" outlineLevel="0" collapsed="false">
      <c r="A47" s="2" t="n">
        <v>46</v>
      </c>
      <c r="B47" s="2" t="s">
        <v>48</v>
      </c>
      <c r="C47" s="2" t="s">
        <v>54</v>
      </c>
      <c r="D47" s="3" t="n">
        <v>0.375</v>
      </c>
      <c r="E47" s="4" t="n">
        <v>8342</v>
      </c>
      <c r="F47" s="2" t="n">
        <f aca="false">COUNTIFS($B$2:$B$151,B47,$D$2:$D$151,"&gt;"&amp;D47)+1</f>
        <v>1</v>
      </c>
      <c r="G47" s="2" t="n">
        <f aca="false">RANK(D47,$D$2:$D$151,0)</f>
        <v>1</v>
      </c>
    </row>
    <row r="48" customFormat="false" ht="15" hidden="false" customHeight="false" outlineLevel="0" collapsed="false">
      <c r="A48" s="2" t="n">
        <v>47</v>
      </c>
      <c r="B48" s="2" t="s">
        <v>48</v>
      </c>
      <c r="C48" s="2" t="s">
        <v>55</v>
      </c>
      <c r="D48" s="3" t="n">
        <v>0.375</v>
      </c>
      <c r="E48" s="4" t="n">
        <v>17413</v>
      </c>
      <c r="F48" s="2" t="n">
        <f aca="false">COUNTIFS($B$2:$B$151,B48,$D$2:$D$151,"&gt;"&amp;D48)+1</f>
        <v>1</v>
      </c>
      <c r="G48" s="2" t="n">
        <f aca="false">RANK(D48,$D$2:$D$151,0)</f>
        <v>1</v>
      </c>
    </row>
    <row r="49" customFormat="false" ht="15" hidden="false" customHeight="false" outlineLevel="0" collapsed="false">
      <c r="A49" s="2" t="n">
        <v>48</v>
      </c>
      <c r="B49" s="2" t="s">
        <v>48</v>
      </c>
      <c r="C49" s="2" t="s">
        <v>56</v>
      </c>
      <c r="D49" s="3" t="n">
        <v>0.298</v>
      </c>
      <c r="E49" s="4" t="n">
        <v>16904</v>
      </c>
      <c r="F49" s="2" t="n">
        <f aca="false">COUNTIFS($B$2:$B$151,B49,$D$2:$D$151,"&gt;"&amp;D49)+1</f>
        <v>5</v>
      </c>
      <c r="G49" s="2" t="n">
        <f aca="false">RANK(D49,$D$2:$D$151,0)</f>
        <v>26</v>
      </c>
    </row>
    <row r="50" customFormat="false" ht="15" hidden="false" customHeight="false" outlineLevel="0" collapsed="false">
      <c r="A50" s="2" t="n">
        <v>49</v>
      </c>
      <c r="B50" s="2" t="s">
        <v>48</v>
      </c>
      <c r="C50" s="2" t="s">
        <v>57</v>
      </c>
      <c r="D50" s="3" t="n">
        <v>0.192</v>
      </c>
      <c r="E50" s="4" t="n">
        <v>19709</v>
      </c>
      <c r="F50" s="2" t="n">
        <f aca="false">COUNTIFS($B$2:$B$151,B50,$D$2:$D$151,"&gt;"&amp;D50)+1</f>
        <v>17</v>
      </c>
      <c r="G50" s="2" t="n">
        <f aca="false">RANK(D50,$D$2:$D$151,0)</f>
        <v>104</v>
      </c>
    </row>
    <row r="51" customFormat="false" ht="15" hidden="false" customHeight="false" outlineLevel="0" collapsed="false">
      <c r="A51" s="2" t="n">
        <v>50</v>
      </c>
      <c r="B51" s="2" t="s">
        <v>48</v>
      </c>
      <c r="C51" s="2" t="s">
        <v>58</v>
      </c>
      <c r="D51" s="3" t="n">
        <v>0.101</v>
      </c>
      <c r="E51" s="4" t="n">
        <v>14272</v>
      </c>
      <c r="F51" s="2" t="n">
        <f aca="false">COUNTIFS($B$2:$B$151,B51,$D$2:$D$151,"&gt;"&amp;D51)+1</f>
        <v>20</v>
      </c>
      <c r="G51" s="2" t="n">
        <f aca="false">RANK(D51,$D$2:$D$151,0)</f>
        <v>132</v>
      </c>
    </row>
    <row r="52" customFormat="false" ht="15" hidden="false" customHeight="false" outlineLevel="0" collapsed="false">
      <c r="A52" s="2" t="n">
        <v>51</v>
      </c>
      <c r="B52" s="2" t="s">
        <v>48</v>
      </c>
      <c r="C52" s="2" t="s">
        <v>59</v>
      </c>
      <c r="D52" s="3" t="n">
        <v>0.2</v>
      </c>
      <c r="E52" s="4" t="n">
        <v>15448</v>
      </c>
      <c r="F52" s="2" t="n">
        <f aca="false">COUNTIFS($B$2:$B$151,B52,$D$2:$D$151,"&gt;"&amp;D52)+1</f>
        <v>16</v>
      </c>
      <c r="G52" s="2" t="n">
        <f aca="false">RANK(D52,$D$2:$D$151,0)</f>
        <v>96</v>
      </c>
    </row>
    <row r="53" customFormat="false" ht="15" hidden="false" customHeight="false" outlineLevel="0" collapsed="false">
      <c r="A53" s="2" t="n">
        <v>52</v>
      </c>
      <c r="B53" s="2" t="s">
        <v>48</v>
      </c>
      <c r="C53" s="2" t="s">
        <v>60</v>
      </c>
      <c r="D53" s="3" t="n">
        <v>0.291</v>
      </c>
      <c r="E53" s="4" t="n">
        <v>8363</v>
      </c>
      <c r="F53" s="2" t="n">
        <f aca="false">COUNTIFS($B$2:$B$151,B53,$D$2:$D$151,"&gt;"&amp;D53)+1</f>
        <v>6</v>
      </c>
      <c r="G53" s="2" t="n">
        <f aca="false">RANK(D53,$D$2:$D$151,0)</f>
        <v>29</v>
      </c>
    </row>
    <row r="54" customFormat="false" ht="15" hidden="false" customHeight="false" outlineLevel="0" collapsed="false">
      <c r="A54" s="2" t="n">
        <v>53</v>
      </c>
      <c r="B54" s="2" t="s">
        <v>48</v>
      </c>
      <c r="C54" s="2" t="s">
        <v>61</v>
      </c>
      <c r="D54" s="3" t="n">
        <v>0.192</v>
      </c>
      <c r="E54" s="4" t="n">
        <v>18271</v>
      </c>
      <c r="F54" s="2" t="n">
        <f aca="false">COUNTIFS($B$2:$B$151,B54,$D$2:$D$151,"&gt;"&amp;D54)+1</f>
        <v>17</v>
      </c>
      <c r="G54" s="2" t="n">
        <f aca="false">RANK(D54,$D$2:$D$151,0)</f>
        <v>104</v>
      </c>
    </row>
    <row r="55" customFormat="false" ht="15" hidden="false" customHeight="false" outlineLevel="0" collapsed="false">
      <c r="A55" s="2" t="n">
        <v>54</v>
      </c>
      <c r="B55" s="2" t="s">
        <v>48</v>
      </c>
      <c r="C55" s="2" t="s">
        <v>62</v>
      </c>
      <c r="D55" s="3" t="n">
        <v>0.22</v>
      </c>
      <c r="E55" s="4" t="n">
        <v>21112</v>
      </c>
      <c r="F55" s="2" t="n">
        <f aca="false">COUNTIFS($B$2:$B$151,B55,$D$2:$D$151,"&gt;"&amp;D55)+1</f>
        <v>14</v>
      </c>
      <c r="G55" s="2" t="n">
        <f aca="false">RANK(D55,$D$2:$D$151,0)</f>
        <v>76</v>
      </c>
    </row>
    <row r="56" customFormat="false" ht="15" hidden="false" customHeight="false" outlineLevel="0" collapsed="false">
      <c r="A56" s="2" t="n">
        <v>55</v>
      </c>
      <c r="B56" s="2" t="s">
        <v>48</v>
      </c>
      <c r="C56" s="2" t="s">
        <v>63</v>
      </c>
      <c r="D56" s="3" t="n">
        <v>0.265</v>
      </c>
      <c r="E56" s="4" t="n">
        <v>11837</v>
      </c>
      <c r="F56" s="2" t="n">
        <f aca="false">COUNTIFS($B$2:$B$151,B56,$D$2:$D$151,"&gt;"&amp;D56)+1</f>
        <v>10</v>
      </c>
      <c r="G56" s="2" t="n">
        <f aca="false">RANK(D56,$D$2:$D$151,0)</f>
        <v>43</v>
      </c>
    </row>
    <row r="57" customFormat="false" ht="15" hidden="false" customHeight="false" outlineLevel="0" collapsed="false">
      <c r="A57" s="2" t="n">
        <v>56</v>
      </c>
      <c r="B57" s="2" t="s">
        <v>48</v>
      </c>
      <c r="C57" s="2" t="s">
        <v>64</v>
      </c>
      <c r="D57" s="3" t="n">
        <v>0.266</v>
      </c>
      <c r="E57" s="4" t="n">
        <v>14015</v>
      </c>
      <c r="F57" s="2" t="n">
        <f aca="false">COUNTIFS($B$2:$B$151,B57,$D$2:$D$151,"&gt;"&amp;D57)+1</f>
        <v>9</v>
      </c>
      <c r="G57" s="2" t="n">
        <f aca="false">RANK(D57,$D$2:$D$151,0)</f>
        <v>41</v>
      </c>
    </row>
    <row r="58" customFormat="false" ht="15" hidden="false" customHeight="false" outlineLevel="0" collapsed="false">
      <c r="A58" s="2" t="n">
        <v>57</v>
      </c>
      <c r="B58" s="2" t="s">
        <v>48</v>
      </c>
      <c r="C58" s="2" t="s">
        <v>65</v>
      </c>
      <c r="D58" s="3" t="n">
        <v>0.34</v>
      </c>
      <c r="E58" s="4" t="n">
        <v>9942</v>
      </c>
      <c r="F58" s="2" t="n">
        <f aca="false">COUNTIFS($B$2:$B$151,B58,$D$2:$D$151,"&gt;"&amp;D58)+1</f>
        <v>3</v>
      </c>
      <c r="G58" s="2" t="n">
        <f aca="false">RANK(D58,$D$2:$D$151,0)</f>
        <v>9</v>
      </c>
    </row>
    <row r="59" customFormat="false" ht="15" hidden="false" customHeight="false" outlineLevel="0" collapsed="false">
      <c r="A59" s="2" t="n">
        <v>58</v>
      </c>
      <c r="B59" s="2" t="s">
        <v>48</v>
      </c>
      <c r="C59" s="2" t="s">
        <v>66</v>
      </c>
      <c r="D59" s="3" t="n">
        <v>0.214</v>
      </c>
      <c r="E59" s="4" t="n">
        <v>17750</v>
      </c>
      <c r="F59" s="2" t="n">
        <f aca="false">COUNTIFS($B$2:$B$151,B59,$D$2:$D$151,"&gt;"&amp;D59)+1</f>
        <v>15</v>
      </c>
      <c r="G59" s="2" t="n">
        <f aca="false">RANK(D59,$D$2:$D$151,0)</f>
        <v>86</v>
      </c>
    </row>
    <row r="60" customFormat="false" ht="15" hidden="false" customHeight="false" outlineLevel="0" collapsed="false">
      <c r="A60" s="2" t="n">
        <v>59</v>
      </c>
      <c r="B60" s="2" t="s">
        <v>48</v>
      </c>
      <c r="C60" s="2" t="s">
        <v>67</v>
      </c>
      <c r="D60" s="3" t="n">
        <v>0.277</v>
      </c>
      <c r="E60" s="4" t="n">
        <v>13889</v>
      </c>
      <c r="F60" s="2" t="n">
        <f aca="false">COUNTIFS($B$2:$B$151,B60,$D$2:$D$151,"&gt;"&amp;D60)+1</f>
        <v>7</v>
      </c>
      <c r="G60" s="2" t="n">
        <f aca="false">RANK(D60,$D$2:$D$151,0)</f>
        <v>35</v>
      </c>
    </row>
    <row r="61" customFormat="false" ht="15" hidden="false" customHeight="false" outlineLevel="0" collapsed="false">
      <c r="A61" s="2" t="n">
        <v>60</v>
      </c>
      <c r="B61" s="2" t="s">
        <v>48</v>
      </c>
      <c r="C61" s="2" t="s">
        <v>68</v>
      </c>
      <c r="D61" s="3" t="n">
        <v>0.25</v>
      </c>
      <c r="E61" s="4" t="n">
        <v>13791</v>
      </c>
      <c r="F61" s="2" t="n">
        <f aca="false">COUNTIFS($B$2:$B$151,B61,$D$2:$D$151,"&gt;"&amp;D61)+1</f>
        <v>11</v>
      </c>
      <c r="G61" s="2" t="n">
        <f aca="false">RANK(D61,$D$2:$D$151,0)</f>
        <v>50</v>
      </c>
    </row>
    <row r="62" customFormat="false" ht="15" hidden="false" customHeight="false" outlineLevel="0" collapsed="false">
      <c r="A62" s="2" t="n">
        <v>61</v>
      </c>
      <c r="B62" s="2" t="s">
        <v>69</v>
      </c>
      <c r="C62" s="2" t="s">
        <v>70</v>
      </c>
      <c r="D62" s="3" t="n">
        <v>0.237</v>
      </c>
      <c r="E62" s="4" t="n">
        <v>14274</v>
      </c>
      <c r="F62" s="2" t="n">
        <f aca="false">COUNTIFS($B$2:$B$151,B62,$D$2:$D$151,"&gt;"&amp;D62)+1</f>
        <v>7</v>
      </c>
      <c r="G62" s="2" t="n">
        <f aca="false">RANK(D62,$D$2:$D$151,0)</f>
        <v>62</v>
      </c>
    </row>
    <row r="63" customFormat="false" ht="15" hidden="false" customHeight="false" outlineLevel="0" collapsed="false">
      <c r="A63" s="2" t="n">
        <v>62</v>
      </c>
      <c r="B63" s="2" t="s">
        <v>69</v>
      </c>
      <c r="C63" s="2" t="s">
        <v>71</v>
      </c>
      <c r="D63" s="3" t="n">
        <v>0.199</v>
      </c>
      <c r="E63" s="4" t="n">
        <v>11306</v>
      </c>
      <c r="F63" s="2" t="n">
        <f aca="false">COUNTIFS($B$2:$B$151,B63,$D$2:$D$151,"&gt;"&amp;D63)+1</f>
        <v>10</v>
      </c>
      <c r="G63" s="2" t="n">
        <f aca="false">RANK(D63,$D$2:$D$151,0)</f>
        <v>98</v>
      </c>
    </row>
    <row r="64" customFormat="false" ht="15" hidden="false" customHeight="false" outlineLevel="0" collapsed="false">
      <c r="A64" s="2" t="n">
        <v>63</v>
      </c>
      <c r="B64" s="2" t="s">
        <v>69</v>
      </c>
      <c r="C64" s="2" t="s">
        <v>72</v>
      </c>
      <c r="D64" s="3" t="n">
        <v>0.243</v>
      </c>
      <c r="E64" s="4" t="n">
        <v>6611</v>
      </c>
      <c r="F64" s="2" t="n">
        <f aca="false">COUNTIFS($B$2:$B$151,B64,$D$2:$D$151,"&gt;"&amp;D64)+1</f>
        <v>6</v>
      </c>
      <c r="G64" s="2" t="n">
        <f aca="false">RANK(D64,$D$2:$D$151,0)</f>
        <v>58</v>
      </c>
    </row>
    <row r="65" customFormat="false" ht="15" hidden="false" customHeight="false" outlineLevel="0" collapsed="false">
      <c r="A65" s="2" t="n">
        <v>64</v>
      </c>
      <c r="B65" s="2" t="s">
        <v>69</v>
      </c>
      <c r="C65" s="2" t="s">
        <v>73</v>
      </c>
      <c r="D65" s="3" t="n">
        <v>0.265</v>
      </c>
      <c r="E65" s="4" t="n">
        <v>7016</v>
      </c>
      <c r="F65" s="2" t="n">
        <f aca="false">COUNTIFS($B$2:$B$151,B65,$D$2:$D$151,"&gt;"&amp;D65)+1</f>
        <v>4</v>
      </c>
      <c r="G65" s="2" t="n">
        <f aca="false">RANK(D65,$D$2:$D$151,0)</f>
        <v>43</v>
      </c>
    </row>
    <row r="66" customFormat="false" ht="15" hidden="false" customHeight="false" outlineLevel="0" collapsed="false">
      <c r="A66" s="2" t="n">
        <v>65</v>
      </c>
      <c r="B66" s="2" t="s">
        <v>69</v>
      </c>
      <c r="C66" s="2" t="s">
        <v>74</v>
      </c>
      <c r="D66" s="3" t="n">
        <v>0.299</v>
      </c>
      <c r="E66" s="4" t="n">
        <v>8384</v>
      </c>
      <c r="F66" s="2" t="n">
        <f aca="false">COUNTIFS($B$2:$B$151,B66,$D$2:$D$151,"&gt;"&amp;D66)+1</f>
        <v>3</v>
      </c>
      <c r="G66" s="2" t="n">
        <f aca="false">RANK(D66,$D$2:$D$151,0)</f>
        <v>25</v>
      </c>
    </row>
    <row r="67" customFormat="false" ht="15" hidden="false" customHeight="false" outlineLevel="0" collapsed="false">
      <c r="A67" s="2" t="n">
        <v>66</v>
      </c>
      <c r="B67" s="2" t="s">
        <v>69</v>
      </c>
      <c r="C67" s="2" t="s">
        <v>69</v>
      </c>
      <c r="D67" s="3" t="n">
        <v>0.164</v>
      </c>
      <c r="E67" s="4" t="n">
        <v>10752</v>
      </c>
      <c r="F67" s="2" t="n">
        <f aca="false">COUNTIFS($B$2:$B$151,B67,$D$2:$D$151,"&gt;"&amp;D67)+1</f>
        <v>11</v>
      </c>
      <c r="G67" s="2" t="n">
        <f aca="false">RANK(D67,$D$2:$D$151,0)</f>
        <v>120</v>
      </c>
    </row>
    <row r="68" customFormat="false" ht="15" hidden="false" customHeight="false" outlineLevel="0" collapsed="false">
      <c r="A68" s="2" t="n">
        <v>67</v>
      </c>
      <c r="B68" s="2" t="s">
        <v>69</v>
      </c>
      <c r="C68" s="2" t="s">
        <v>75</v>
      </c>
      <c r="D68" s="3" t="n">
        <v>0.348</v>
      </c>
      <c r="E68" s="4" t="n">
        <v>5246</v>
      </c>
      <c r="F68" s="2" t="n">
        <f aca="false">COUNTIFS($B$2:$B$151,B68,$D$2:$D$151,"&gt;"&amp;D68)+1</f>
        <v>1</v>
      </c>
      <c r="G68" s="2" t="n">
        <f aca="false">RANK(D68,$D$2:$D$151,0)</f>
        <v>3</v>
      </c>
    </row>
    <row r="69" customFormat="false" ht="15" hidden="false" customHeight="false" outlineLevel="0" collapsed="false">
      <c r="A69" s="2" t="n">
        <v>68</v>
      </c>
      <c r="B69" s="2" t="s">
        <v>69</v>
      </c>
      <c r="C69" s="2" t="s">
        <v>76</v>
      </c>
      <c r="D69" s="3" t="n">
        <v>0.346</v>
      </c>
      <c r="E69" s="4" t="n">
        <v>4103</v>
      </c>
      <c r="F69" s="2" t="n">
        <f aca="false">COUNTIFS($B$2:$B$151,B69,$D$2:$D$151,"&gt;"&amp;D69)+1</f>
        <v>2</v>
      </c>
      <c r="G69" s="2" t="n">
        <f aca="false">RANK(D69,$D$2:$D$151,0)</f>
        <v>5</v>
      </c>
    </row>
    <row r="70" customFormat="false" ht="15" hidden="false" customHeight="false" outlineLevel="0" collapsed="false">
      <c r="A70" s="2" t="n">
        <v>69</v>
      </c>
      <c r="B70" s="2" t="s">
        <v>69</v>
      </c>
      <c r="C70" s="2" t="s">
        <v>77</v>
      </c>
      <c r="D70" s="3" t="n">
        <v>0.249</v>
      </c>
      <c r="E70" s="4" t="n">
        <v>6564</v>
      </c>
      <c r="F70" s="2" t="n">
        <f aca="false">COUNTIFS($B$2:$B$151,B70,$D$2:$D$151,"&gt;"&amp;D70)+1</f>
        <v>5</v>
      </c>
      <c r="G70" s="2" t="n">
        <f aca="false">RANK(D70,$D$2:$D$151,0)</f>
        <v>52</v>
      </c>
    </row>
    <row r="71" customFormat="false" ht="15" hidden="false" customHeight="false" outlineLevel="0" collapsed="false">
      <c r="A71" s="2" t="n">
        <v>70</v>
      </c>
      <c r="B71" s="2" t="s">
        <v>69</v>
      </c>
      <c r="C71" s="2" t="s">
        <v>78</v>
      </c>
      <c r="D71" s="3" t="n">
        <v>0.234</v>
      </c>
      <c r="E71" s="4" t="n">
        <v>11326</v>
      </c>
      <c r="F71" s="2" t="n">
        <f aca="false">COUNTIFS($B$2:$B$151,B71,$D$2:$D$151,"&gt;"&amp;D71)+1</f>
        <v>8</v>
      </c>
      <c r="G71" s="2" t="n">
        <f aca="false">RANK(D71,$D$2:$D$151,0)</f>
        <v>65</v>
      </c>
    </row>
    <row r="72" customFormat="false" ht="15" hidden="false" customHeight="false" outlineLevel="0" collapsed="false">
      <c r="A72" s="2" t="n">
        <v>71</v>
      </c>
      <c r="B72" s="2" t="s">
        <v>69</v>
      </c>
      <c r="C72" s="2" t="s">
        <v>79</v>
      </c>
      <c r="D72" s="3" t="n">
        <v>0.214</v>
      </c>
      <c r="E72" s="4" t="n">
        <v>12686</v>
      </c>
      <c r="F72" s="2" t="n">
        <f aca="false">COUNTIFS($B$2:$B$151,B72,$D$2:$D$151,"&gt;"&amp;D72)+1</f>
        <v>9</v>
      </c>
      <c r="G72" s="2" t="n">
        <f aca="false">RANK(D72,$D$2:$D$151,0)</f>
        <v>86</v>
      </c>
    </row>
    <row r="73" customFormat="false" ht="15" hidden="false" customHeight="false" outlineLevel="0" collapsed="false">
      <c r="A73" s="2" t="n">
        <v>72</v>
      </c>
      <c r="B73" s="2" t="s">
        <v>80</v>
      </c>
      <c r="C73" s="2" t="s">
        <v>81</v>
      </c>
      <c r="D73" s="3" t="n">
        <v>0.223</v>
      </c>
      <c r="E73" s="4" t="n">
        <v>21221</v>
      </c>
      <c r="F73" s="2" t="n">
        <f aca="false">COUNTIFS($B$2:$B$151,B73,$D$2:$D$151,"&gt;"&amp;D73)+1</f>
        <v>4</v>
      </c>
      <c r="G73" s="2" t="n">
        <f aca="false">RANK(D73,$D$2:$D$151,0)</f>
        <v>73</v>
      </c>
    </row>
    <row r="74" customFormat="false" ht="15" hidden="false" customHeight="false" outlineLevel="0" collapsed="false">
      <c r="A74" s="2" t="n">
        <v>73</v>
      </c>
      <c r="B74" s="2" t="s">
        <v>80</v>
      </c>
      <c r="C74" s="2" t="s">
        <v>82</v>
      </c>
      <c r="D74" s="3" t="n">
        <v>0.346</v>
      </c>
      <c r="E74" s="4" t="n">
        <v>29673</v>
      </c>
      <c r="F74" s="2" t="n">
        <f aca="false">COUNTIFS($B$2:$B$151,B74,$D$2:$D$151,"&gt;"&amp;D74)+1</f>
        <v>1</v>
      </c>
      <c r="G74" s="2" t="n">
        <f aca="false">RANK(D74,$D$2:$D$151,0)</f>
        <v>5</v>
      </c>
    </row>
    <row r="75" customFormat="false" ht="15" hidden="false" customHeight="false" outlineLevel="0" collapsed="false">
      <c r="A75" s="2" t="n">
        <v>74</v>
      </c>
      <c r="B75" s="2" t="s">
        <v>80</v>
      </c>
      <c r="C75" s="2" t="s">
        <v>83</v>
      </c>
      <c r="D75" s="3" t="n">
        <v>0.265</v>
      </c>
      <c r="E75" s="4" t="n">
        <v>27473</v>
      </c>
      <c r="F75" s="2" t="n">
        <f aca="false">COUNTIFS($B$2:$B$151,B75,$D$2:$D$151,"&gt;"&amp;D75)+1</f>
        <v>2</v>
      </c>
      <c r="G75" s="2" t="n">
        <f aca="false">RANK(D75,$D$2:$D$151,0)</f>
        <v>43</v>
      </c>
    </row>
    <row r="76" customFormat="false" ht="15" hidden="false" customHeight="false" outlineLevel="0" collapsed="false">
      <c r="A76" s="2" t="n">
        <v>75</v>
      </c>
      <c r="B76" s="2" t="s">
        <v>80</v>
      </c>
      <c r="C76" s="2" t="s">
        <v>80</v>
      </c>
      <c r="D76" s="3" t="n">
        <v>0.219</v>
      </c>
      <c r="E76" s="4" t="n">
        <v>43919</v>
      </c>
      <c r="F76" s="2" t="n">
        <f aca="false">COUNTIFS($B$2:$B$151,B76,$D$2:$D$151,"&gt;"&amp;D76)+1</f>
        <v>5</v>
      </c>
      <c r="G76" s="2" t="n">
        <f aca="false">RANK(D76,$D$2:$D$151,0)</f>
        <v>79</v>
      </c>
    </row>
    <row r="77" customFormat="false" ht="15" hidden="false" customHeight="false" outlineLevel="0" collapsed="false">
      <c r="A77" s="2" t="n">
        <v>76</v>
      </c>
      <c r="B77" s="2" t="s">
        <v>80</v>
      </c>
      <c r="C77" s="2" t="s">
        <v>84</v>
      </c>
      <c r="D77" s="3" t="n">
        <v>0.229</v>
      </c>
      <c r="E77" s="4" t="n">
        <v>45324</v>
      </c>
      <c r="F77" s="2" t="n">
        <f aca="false">COUNTIFS($B$2:$B$151,B77,$D$2:$D$151,"&gt;"&amp;D77)+1</f>
        <v>3</v>
      </c>
      <c r="G77" s="2" t="n">
        <f aca="false">RANK(D77,$D$2:$D$151,0)</f>
        <v>69</v>
      </c>
    </row>
    <row r="78" customFormat="false" ht="15" hidden="false" customHeight="false" outlineLevel="0" collapsed="false">
      <c r="A78" s="2" t="n">
        <v>77</v>
      </c>
      <c r="B78" s="2" t="s">
        <v>85</v>
      </c>
      <c r="C78" s="2" t="s">
        <v>86</v>
      </c>
      <c r="D78" s="3" t="n">
        <v>0.223</v>
      </c>
      <c r="E78" s="4" t="n">
        <v>9951</v>
      </c>
      <c r="F78" s="2" t="n">
        <f aca="false">COUNTIFS($B$2:$B$151,B78,$D$2:$D$151,"&gt;"&amp;D78)+1</f>
        <v>10</v>
      </c>
      <c r="G78" s="2" t="n">
        <f aca="false">RANK(D78,$D$2:$D$151,0)</f>
        <v>73</v>
      </c>
    </row>
    <row r="79" customFormat="false" ht="15" hidden="false" customHeight="false" outlineLevel="0" collapsed="false">
      <c r="A79" s="2" t="n">
        <v>78</v>
      </c>
      <c r="B79" s="2" t="s">
        <v>85</v>
      </c>
      <c r="C79" s="2" t="s">
        <v>87</v>
      </c>
      <c r="D79" s="3" t="n">
        <v>0.22</v>
      </c>
      <c r="E79" s="4" t="n">
        <v>13791</v>
      </c>
      <c r="F79" s="2" t="n">
        <f aca="false">COUNTIFS($B$2:$B$151,B79,$D$2:$D$151,"&gt;"&amp;D79)+1</f>
        <v>11</v>
      </c>
      <c r="G79" s="2" t="n">
        <f aca="false">RANK(D79,$D$2:$D$151,0)</f>
        <v>76</v>
      </c>
    </row>
    <row r="80" customFormat="false" ht="15" hidden="false" customHeight="false" outlineLevel="0" collapsed="false">
      <c r="A80" s="2" t="n">
        <v>79</v>
      </c>
      <c r="B80" s="2" t="s">
        <v>85</v>
      </c>
      <c r="C80" s="2" t="s">
        <v>88</v>
      </c>
      <c r="D80" s="3" t="n">
        <v>0.219</v>
      </c>
      <c r="E80" s="4" t="n">
        <v>11928</v>
      </c>
      <c r="F80" s="2" t="n">
        <f aca="false">COUNTIFS($B$2:$B$151,B80,$D$2:$D$151,"&gt;"&amp;D80)+1</f>
        <v>13</v>
      </c>
      <c r="G80" s="2" t="n">
        <f aca="false">RANK(D80,$D$2:$D$151,0)</f>
        <v>79</v>
      </c>
    </row>
    <row r="81" customFormat="false" ht="15" hidden="false" customHeight="false" outlineLevel="0" collapsed="false">
      <c r="A81" s="2" t="n">
        <v>80</v>
      </c>
      <c r="B81" s="2" t="s">
        <v>85</v>
      </c>
      <c r="C81" s="2" t="s">
        <v>89</v>
      </c>
      <c r="D81" s="3" t="n">
        <v>0.227</v>
      </c>
      <c r="E81" s="4" t="n">
        <v>13308</v>
      </c>
      <c r="F81" s="2" t="n">
        <f aca="false">COUNTIFS($B$2:$B$151,B81,$D$2:$D$151,"&gt;"&amp;D81)+1</f>
        <v>9</v>
      </c>
      <c r="G81" s="2" t="n">
        <f aca="false">RANK(D81,$D$2:$D$151,0)</f>
        <v>70</v>
      </c>
    </row>
    <row r="82" customFormat="false" ht="15" hidden="false" customHeight="false" outlineLevel="0" collapsed="false">
      <c r="A82" s="2" t="n">
        <v>81</v>
      </c>
      <c r="B82" s="2" t="s">
        <v>85</v>
      </c>
      <c r="C82" s="2" t="s">
        <v>90</v>
      </c>
      <c r="D82" s="3" t="n">
        <v>0.237</v>
      </c>
      <c r="E82" s="4" t="n">
        <v>7890</v>
      </c>
      <c r="F82" s="2" t="n">
        <f aca="false">COUNTIFS($B$2:$B$151,B82,$D$2:$D$151,"&gt;"&amp;D82)+1</f>
        <v>8</v>
      </c>
      <c r="G82" s="2" t="n">
        <f aca="false">RANK(D82,$D$2:$D$151,0)</f>
        <v>62</v>
      </c>
    </row>
    <row r="83" customFormat="false" ht="15" hidden="false" customHeight="false" outlineLevel="0" collapsed="false">
      <c r="A83" s="2" t="n">
        <v>82</v>
      </c>
      <c r="B83" s="2" t="s">
        <v>85</v>
      </c>
      <c r="C83" s="2" t="s">
        <v>91</v>
      </c>
      <c r="D83" s="3" t="n">
        <v>0.295</v>
      </c>
      <c r="E83" s="4" t="n">
        <v>9088</v>
      </c>
      <c r="F83" s="2" t="n">
        <f aca="false">COUNTIFS($B$2:$B$151,B83,$D$2:$D$151,"&gt;"&amp;D83)+1</f>
        <v>2</v>
      </c>
      <c r="G83" s="2" t="n">
        <f aca="false">RANK(D83,$D$2:$D$151,0)</f>
        <v>27</v>
      </c>
    </row>
    <row r="84" customFormat="false" ht="15" hidden="false" customHeight="false" outlineLevel="0" collapsed="false">
      <c r="A84" s="2" t="n">
        <v>83</v>
      </c>
      <c r="B84" s="2" t="s">
        <v>85</v>
      </c>
      <c r="C84" s="2" t="s">
        <v>92</v>
      </c>
      <c r="D84" s="3" t="n">
        <v>0.334</v>
      </c>
      <c r="E84" s="4" t="n">
        <v>8831</v>
      </c>
      <c r="F84" s="2" t="n">
        <f aca="false">COUNTIFS($B$2:$B$151,B84,$D$2:$D$151,"&gt;"&amp;D84)+1</f>
        <v>1</v>
      </c>
      <c r="G84" s="2" t="n">
        <f aca="false">RANK(D84,$D$2:$D$151,0)</f>
        <v>12</v>
      </c>
    </row>
    <row r="85" customFormat="false" ht="15" hidden="false" customHeight="false" outlineLevel="0" collapsed="false">
      <c r="A85" s="2" t="n">
        <v>84</v>
      </c>
      <c r="B85" s="2" t="s">
        <v>85</v>
      </c>
      <c r="C85" s="2" t="s">
        <v>93</v>
      </c>
      <c r="D85" s="3" t="n">
        <v>0.287</v>
      </c>
      <c r="E85" s="4" t="n">
        <v>14631</v>
      </c>
      <c r="F85" s="2" t="n">
        <f aca="false">COUNTIFS($B$2:$B$151,B85,$D$2:$D$151,"&gt;"&amp;D85)+1</f>
        <v>3</v>
      </c>
      <c r="G85" s="2" t="n">
        <f aca="false">RANK(D85,$D$2:$D$151,0)</f>
        <v>30</v>
      </c>
    </row>
    <row r="86" customFormat="false" ht="15" hidden="false" customHeight="false" outlineLevel="0" collapsed="false">
      <c r="A86" s="2" t="n">
        <v>85</v>
      </c>
      <c r="B86" s="2" t="s">
        <v>85</v>
      </c>
      <c r="C86" s="2" t="s">
        <v>94</v>
      </c>
      <c r="D86" s="3" t="n">
        <v>0.217</v>
      </c>
      <c r="E86" s="4" t="n">
        <v>14505</v>
      </c>
      <c r="F86" s="2" t="n">
        <f aca="false">COUNTIFS($B$2:$B$151,B86,$D$2:$D$151,"&gt;"&amp;D86)+1</f>
        <v>15</v>
      </c>
      <c r="G86" s="2" t="n">
        <f aca="false">RANK(D86,$D$2:$D$151,0)</f>
        <v>83</v>
      </c>
    </row>
    <row r="87" customFormat="false" ht="15" hidden="false" customHeight="false" outlineLevel="0" collapsed="false">
      <c r="A87" s="2" t="n">
        <v>86</v>
      </c>
      <c r="B87" s="2" t="s">
        <v>85</v>
      </c>
      <c r="C87" s="2" t="s">
        <v>95</v>
      </c>
      <c r="D87" s="3" t="n">
        <v>0.255</v>
      </c>
      <c r="E87" s="4" t="n">
        <v>6522</v>
      </c>
      <c r="F87" s="2" t="n">
        <f aca="false">COUNTIFS($B$2:$B$151,B87,$D$2:$D$151,"&gt;"&amp;D87)+1</f>
        <v>5</v>
      </c>
      <c r="G87" s="2" t="n">
        <f aca="false">RANK(D87,$D$2:$D$151,0)</f>
        <v>49</v>
      </c>
    </row>
    <row r="88" customFormat="false" ht="15" hidden="false" customHeight="false" outlineLevel="0" collapsed="false">
      <c r="A88" s="2" t="n">
        <v>87</v>
      </c>
      <c r="B88" s="2" t="s">
        <v>85</v>
      </c>
      <c r="C88" s="2" t="s">
        <v>96</v>
      </c>
      <c r="D88" s="3" t="n">
        <v>0.203</v>
      </c>
      <c r="E88" s="4" t="n">
        <v>13869</v>
      </c>
      <c r="F88" s="2" t="n">
        <f aca="false">COUNTIFS($B$2:$B$151,B88,$D$2:$D$151,"&gt;"&amp;D88)+1</f>
        <v>16</v>
      </c>
      <c r="G88" s="2" t="n">
        <f aca="false">RANK(D88,$D$2:$D$151,0)</f>
        <v>94</v>
      </c>
    </row>
    <row r="89" customFormat="false" ht="15" hidden="false" customHeight="false" outlineLevel="0" collapsed="false">
      <c r="A89" s="2" t="n">
        <v>88</v>
      </c>
      <c r="B89" s="2" t="s">
        <v>85</v>
      </c>
      <c r="C89" s="2" t="s">
        <v>97</v>
      </c>
      <c r="D89" s="3" t="n">
        <v>0.249</v>
      </c>
      <c r="E89" s="4" t="n">
        <v>23487</v>
      </c>
      <c r="F89" s="2" t="n">
        <f aca="false">COUNTIFS($B$2:$B$151,B89,$D$2:$D$151,"&gt;"&amp;D89)+1</f>
        <v>6</v>
      </c>
      <c r="G89" s="2" t="n">
        <f aca="false">RANK(D89,$D$2:$D$151,0)</f>
        <v>52</v>
      </c>
    </row>
    <row r="90" customFormat="false" ht="15" hidden="false" customHeight="false" outlineLevel="0" collapsed="false">
      <c r="A90" s="2" t="n">
        <v>89</v>
      </c>
      <c r="B90" s="2" t="s">
        <v>85</v>
      </c>
      <c r="C90" s="2" t="s">
        <v>98</v>
      </c>
      <c r="D90" s="3" t="n">
        <v>0.193</v>
      </c>
      <c r="E90" s="4" t="n">
        <v>17607</v>
      </c>
      <c r="F90" s="2" t="n">
        <f aca="false">COUNTIFS($B$2:$B$151,B90,$D$2:$D$151,"&gt;"&amp;D90)+1</f>
        <v>17</v>
      </c>
      <c r="G90" s="2" t="n">
        <f aca="false">RANK(D90,$D$2:$D$151,0)</f>
        <v>103</v>
      </c>
    </row>
    <row r="91" customFormat="false" ht="15" hidden="false" customHeight="false" outlineLevel="0" collapsed="false">
      <c r="A91" s="2" t="n">
        <v>90</v>
      </c>
      <c r="B91" s="2" t="s">
        <v>85</v>
      </c>
      <c r="C91" s="2" t="s">
        <v>99</v>
      </c>
      <c r="D91" s="3" t="n">
        <v>0.181</v>
      </c>
      <c r="E91" s="4" t="n">
        <v>7167</v>
      </c>
      <c r="F91" s="2" t="n">
        <f aca="false">COUNTIFS($B$2:$B$151,B91,$D$2:$D$151,"&gt;"&amp;D91)+1</f>
        <v>18</v>
      </c>
      <c r="G91" s="2" t="n">
        <f aca="false">RANK(D91,$D$2:$D$151,0)</f>
        <v>112</v>
      </c>
    </row>
    <row r="92" customFormat="false" ht="15" hidden="false" customHeight="false" outlineLevel="0" collapsed="false">
      <c r="A92" s="2" t="n">
        <v>91</v>
      </c>
      <c r="B92" s="2" t="s">
        <v>85</v>
      </c>
      <c r="C92" s="2" t="s">
        <v>100</v>
      </c>
      <c r="D92" s="3" t="n">
        <v>0.22</v>
      </c>
      <c r="E92" s="4" t="n">
        <v>13553</v>
      </c>
      <c r="F92" s="2" t="n">
        <f aca="false">COUNTIFS($B$2:$B$151,B92,$D$2:$D$151,"&gt;"&amp;D92)+1</f>
        <v>11</v>
      </c>
      <c r="G92" s="2" t="n">
        <f aca="false">RANK(D92,$D$2:$D$151,0)</f>
        <v>76</v>
      </c>
    </row>
    <row r="93" customFormat="false" ht="15" hidden="false" customHeight="false" outlineLevel="0" collapsed="false">
      <c r="A93" s="2" t="n">
        <v>92</v>
      </c>
      <c r="B93" s="2" t="s">
        <v>85</v>
      </c>
      <c r="C93" s="2" t="s">
        <v>101</v>
      </c>
      <c r="D93" s="3" t="n">
        <v>0.248</v>
      </c>
      <c r="E93" s="4" t="n">
        <v>10507</v>
      </c>
      <c r="F93" s="2" t="n">
        <f aca="false">COUNTIFS($B$2:$B$151,B93,$D$2:$D$151,"&gt;"&amp;D93)+1</f>
        <v>7</v>
      </c>
      <c r="G93" s="2" t="n">
        <f aca="false">RANK(D93,$D$2:$D$151,0)</f>
        <v>55</v>
      </c>
    </row>
    <row r="94" customFormat="false" ht="15" hidden="false" customHeight="false" outlineLevel="0" collapsed="false">
      <c r="A94" s="2" t="n">
        <v>93</v>
      </c>
      <c r="B94" s="2" t="s">
        <v>85</v>
      </c>
      <c r="C94" s="2" t="s">
        <v>102</v>
      </c>
      <c r="D94" s="3" t="n">
        <v>0.218</v>
      </c>
      <c r="E94" s="4" t="n">
        <v>8486</v>
      </c>
      <c r="F94" s="2" t="n">
        <f aca="false">COUNTIFS($B$2:$B$151,B94,$D$2:$D$151,"&gt;"&amp;D94)+1</f>
        <v>14</v>
      </c>
      <c r="G94" s="2" t="n">
        <f aca="false">RANK(D94,$D$2:$D$151,0)</f>
        <v>82</v>
      </c>
    </row>
    <row r="95" customFormat="false" ht="15" hidden="false" customHeight="false" outlineLevel="0" collapsed="false">
      <c r="A95" s="2" t="n">
        <v>94</v>
      </c>
      <c r="B95" s="2" t="s">
        <v>85</v>
      </c>
      <c r="C95" s="2" t="s">
        <v>103</v>
      </c>
      <c r="D95" s="3" t="n">
        <v>0.287</v>
      </c>
      <c r="E95" s="4" t="n">
        <v>16199</v>
      </c>
      <c r="F95" s="2" t="n">
        <f aca="false">COUNTIFS($B$2:$B$151,B95,$D$2:$D$151,"&gt;"&amp;D95)+1</f>
        <v>3</v>
      </c>
      <c r="G95" s="2" t="n">
        <f aca="false">RANK(D95,$D$2:$D$151,0)</f>
        <v>30</v>
      </c>
    </row>
    <row r="96" customFormat="false" ht="15" hidden="false" customHeight="false" outlineLevel="0" collapsed="false">
      <c r="A96" s="2" t="n">
        <v>95</v>
      </c>
      <c r="B96" s="2" t="s">
        <v>104</v>
      </c>
      <c r="C96" s="2" t="s">
        <v>105</v>
      </c>
      <c r="D96" s="3" t="n">
        <v>0.266</v>
      </c>
      <c r="E96" s="4" t="n">
        <v>12737</v>
      </c>
      <c r="F96" s="2" t="n">
        <f aca="false">COUNTIFS($B$2:$B$151,B96,$D$2:$D$151,"&gt;"&amp;D96)+1</f>
        <v>7</v>
      </c>
      <c r="G96" s="2" t="n">
        <f aca="false">RANK(D96,$D$2:$D$151,0)</f>
        <v>41</v>
      </c>
    </row>
    <row r="97" customFormat="false" ht="15" hidden="false" customHeight="false" outlineLevel="0" collapsed="false">
      <c r="A97" s="2" t="n">
        <v>96</v>
      </c>
      <c r="B97" s="2" t="s">
        <v>104</v>
      </c>
      <c r="C97" s="2" t="s">
        <v>106</v>
      </c>
      <c r="D97" s="3" t="n">
        <v>0.226</v>
      </c>
      <c r="E97" s="4" t="n">
        <v>14026</v>
      </c>
      <c r="F97" s="2" t="n">
        <f aca="false">COUNTIFS($B$2:$B$151,B97,$D$2:$D$151,"&gt;"&amp;D97)+1</f>
        <v>12</v>
      </c>
      <c r="G97" s="2" t="n">
        <f aca="false">RANK(D97,$D$2:$D$151,0)</f>
        <v>72</v>
      </c>
    </row>
    <row r="98" customFormat="false" ht="15" hidden="false" customHeight="false" outlineLevel="0" collapsed="false">
      <c r="A98" s="2" t="n">
        <v>97</v>
      </c>
      <c r="B98" s="2" t="s">
        <v>104</v>
      </c>
      <c r="C98" s="2" t="s">
        <v>107</v>
      </c>
      <c r="D98" s="3" t="n">
        <v>0.282</v>
      </c>
      <c r="E98" s="4" t="n">
        <v>15551</v>
      </c>
      <c r="F98" s="2" t="n">
        <f aca="false">COUNTIFS($B$2:$B$151,B98,$D$2:$D$151,"&gt;"&amp;D98)+1</f>
        <v>3</v>
      </c>
      <c r="G98" s="2" t="n">
        <f aca="false">RANK(D98,$D$2:$D$151,0)</f>
        <v>33</v>
      </c>
    </row>
    <row r="99" customFormat="false" ht="15" hidden="false" customHeight="false" outlineLevel="0" collapsed="false">
      <c r="A99" s="2" t="n">
        <v>98</v>
      </c>
      <c r="B99" s="2" t="s">
        <v>104</v>
      </c>
      <c r="C99" s="2" t="s">
        <v>108</v>
      </c>
      <c r="D99" s="3" t="n">
        <v>0.309</v>
      </c>
      <c r="E99" s="4" t="n">
        <v>13971</v>
      </c>
      <c r="F99" s="2" t="n">
        <f aca="false">COUNTIFS($B$2:$B$151,B99,$D$2:$D$151,"&gt;"&amp;D99)+1</f>
        <v>2</v>
      </c>
      <c r="G99" s="2" t="n">
        <f aca="false">RANK(D99,$D$2:$D$151,0)</f>
        <v>22</v>
      </c>
    </row>
    <row r="100" customFormat="false" ht="15" hidden="false" customHeight="false" outlineLevel="0" collapsed="false">
      <c r="A100" s="2" t="n">
        <v>99</v>
      </c>
      <c r="B100" s="2" t="s">
        <v>104</v>
      </c>
      <c r="C100" s="2" t="s">
        <v>109</v>
      </c>
      <c r="D100" s="3" t="n">
        <v>0.278</v>
      </c>
      <c r="E100" s="4" t="n">
        <v>8116</v>
      </c>
      <c r="F100" s="2" t="n">
        <f aca="false">COUNTIFS($B$2:$B$151,B100,$D$2:$D$151,"&gt;"&amp;D100)+1</f>
        <v>4</v>
      </c>
      <c r="G100" s="2" t="n">
        <f aca="false">RANK(D100,$D$2:$D$151,0)</f>
        <v>34</v>
      </c>
    </row>
    <row r="101" customFormat="false" ht="15" hidden="false" customHeight="false" outlineLevel="0" collapsed="false">
      <c r="A101" s="2" t="n">
        <v>100</v>
      </c>
      <c r="B101" s="2" t="s">
        <v>104</v>
      </c>
      <c r="C101" s="2" t="s">
        <v>110</v>
      </c>
      <c r="D101" s="3" t="n">
        <v>0.219</v>
      </c>
      <c r="E101" s="4" t="n">
        <v>10601</v>
      </c>
      <c r="F101" s="2" t="n">
        <f aca="false">COUNTIFS($B$2:$B$151,B101,$D$2:$D$151,"&gt;"&amp;D101)+1</f>
        <v>13</v>
      </c>
      <c r="G101" s="2" t="n">
        <f aca="false">RANK(D101,$D$2:$D$151,0)</f>
        <v>79</v>
      </c>
    </row>
    <row r="102" customFormat="false" ht="15" hidden="false" customHeight="false" outlineLevel="0" collapsed="false">
      <c r="A102" s="2" t="n">
        <v>101</v>
      </c>
      <c r="B102" s="2" t="s">
        <v>104</v>
      </c>
      <c r="C102" s="2" t="s">
        <v>111</v>
      </c>
      <c r="D102" s="3" t="n">
        <v>0.237</v>
      </c>
      <c r="E102" s="4" t="n">
        <v>10670</v>
      </c>
      <c r="F102" s="2" t="n">
        <f aca="false">COUNTIFS($B$2:$B$151,B102,$D$2:$D$151,"&gt;"&amp;D102)+1</f>
        <v>10</v>
      </c>
      <c r="G102" s="2" t="n">
        <f aca="false">RANK(D102,$D$2:$D$151,0)</f>
        <v>62</v>
      </c>
    </row>
    <row r="103" customFormat="false" ht="15" hidden="false" customHeight="false" outlineLevel="0" collapsed="false">
      <c r="A103" s="2" t="n">
        <v>102</v>
      </c>
      <c r="B103" s="2" t="s">
        <v>104</v>
      </c>
      <c r="C103" s="2" t="s">
        <v>112</v>
      </c>
      <c r="D103" s="3" t="n">
        <v>0.243</v>
      </c>
      <c r="E103" s="4" t="n">
        <v>7483</v>
      </c>
      <c r="F103" s="2" t="n">
        <f aca="false">COUNTIFS($B$2:$B$151,B103,$D$2:$D$151,"&gt;"&amp;D103)+1</f>
        <v>9</v>
      </c>
      <c r="G103" s="2" t="n">
        <f aca="false">RANK(D103,$D$2:$D$151,0)</f>
        <v>58</v>
      </c>
    </row>
    <row r="104" customFormat="false" ht="15" hidden="false" customHeight="false" outlineLevel="0" collapsed="false">
      <c r="A104" s="2" t="n">
        <v>103</v>
      </c>
      <c r="B104" s="2" t="s">
        <v>104</v>
      </c>
      <c r="C104" s="2" t="s">
        <v>113</v>
      </c>
      <c r="D104" s="3" t="n">
        <v>0.249</v>
      </c>
      <c r="E104" s="4" t="n">
        <v>9008</v>
      </c>
      <c r="F104" s="2" t="n">
        <f aca="false">COUNTIFS($B$2:$B$151,B104,$D$2:$D$151,"&gt;"&amp;D104)+1</f>
        <v>8</v>
      </c>
      <c r="G104" s="2" t="n">
        <f aca="false">RANK(D104,$D$2:$D$151,0)</f>
        <v>52</v>
      </c>
    </row>
    <row r="105" customFormat="false" ht="15" hidden="false" customHeight="false" outlineLevel="0" collapsed="false">
      <c r="A105" s="2" t="n">
        <v>104</v>
      </c>
      <c r="B105" s="2" t="s">
        <v>104</v>
      </c>
      <c r="C105" s="2" t="s">
        <v>114</v>
      </c>
      <c r="D105" s="3" t="n">
        <v>0.32</v>
      </c>
      <c r="E105" s="4" t="n">
        <v>9368</v>
      </c>
      <c r="F105" s="2" t="n">
        <f aca="false">COUNTIFS($B$2:$B$151,B105,$D$2:$D$151,"&gt;"&amp;D105)+1</f>
        <v>1</v>
      </c>
      <c r="G105" s="2" t="n">
        <f aca="false">RANK(D105,$D$2:$D$151,0)</f>
        <v>19</v>
      </c>
    </row>
    <row r="106" customFormat="false" ht="15" hidden="false" customHeight="false" outlineLevel="0" collapsed="false">
      <c r="A106" s="2" t="n">
        <v>105</v>
      </c>
      <c r="B106" s="2" t="s">
        <v>104</v>
      </c>
      <c r="C106" s="2" t="s">
        <v>115</v>
      </c>
      <c r="D106" s="3" t="n">
        <v>0.271</v>
      </c>
      <c r="E106" s="4" t="n">
        <v>5111</v>
      </c>
      <c r="F106" s="2" t="n">
        <f aca="false">COUNTIFS($B$2:$B$151,B106,$D$2:$D$151,"&gt;"&amp;D106)+1</f>
        <v>6</v>
      </c>
      <c r="G106" s="2" t="n">
        <f aca="false">RANK(D106,$D$2:$D$151,0)</f>
        <v>39</v>
      </c>
    </row>
    <row r="107" customFormat="false" ht="15" hidden="false" customHeight="false" outlineLevel="0" collapsed="false">
      <c r="A107" s="2" t="n">
        <v>106</v>
      </c>
      <c r="B107" s="2" t="s">
        <v>104</v>
      </c>
      <c r="C107" s="2" t="s">
        <v>116</v>
      </c>
      <c r="D107" s="3" t="n">
        <v>0.272</v>
      </c>
      <c r="E107" s="4" t="n">
        <v>8210</v>
      </c>
      <c r="F107" s="2" t="n">
        <f aca="false">COUNTIFS($B$2:$B$151,B107,$D$2:$D$151,"&gt;"&amp;D107)+1</f>
        <v>5</v>
      </c>
      <c r="G107" s="2" t="n">
        <f aca="false">RANK(D107,$D$2:$D$151,0)</f>
        <v>38</v>
      </c>
    </row>
    <row r="108" customFormat="false" ht="15" hidden="false" customHeight="false" outlineLevel="0" collapsed="false">
      <c r="A108" s="2" t="n">
        <v>107</v>
      </c>
      <c r="B108" s="2" t="s">
        <v>104</v>
      </c>
      <c r="C108" s="2" t="s">
        <v>117</v>
      </c>
      <c r="D108" s="3" t="n">
        <v>0.215</v>
      </c>
      <c r="E108" s="4" t="n">
        <v>13713</v>
      </c>
      <c r="F108" s="2" t="n">
        <f aca="false">COUNTIFS($B$2:$B$151,B108,$D$2:$D$151,"&gt;"&amp;D108)+1</f>
        <v>14</v>
      </c>
      <c r="G108" s="2" t="n">
        <f aca="false">RANK(D108,$D$2:$D$151,0)</f>
        <v>85</v>
      </c>
    </row>
    <row r="109" customFormat="false" ht="15" hidden="false" customHeight="false" outlineLevel="0" collapsed="false">
      <c r="A109" s="2" t="n">
        <v>108</v>
      </c>
      <c r="B109" s="2" t="s">
        <v>104</v>
      </c>
      <c r="C109" s="2" t="s">
        <v>118</v>
      </c>
      <c r="D109" s="3" t="n">
        <v>0.169</v>
      </c>
      <c r="E109" s="4" t="n">
        <v>17052</v>
      </c>
      <c r="F109" s="2" t="n">
        <f aca="false">COUNTIFS($B$2:$B$151,B109,$D$2:$D$151,"&gt;"&amp;D109)+1</f>
        <v>16</v>
      </c>
      <c r="G109" s="2" t="n">
        <f aca="false">RANK(D109,$D$2:$D$151,0)</f>
        <v>116</v>
      </c>
    </row>
    <row r="110" customFormat="false" ht="15" hidden="false" customHeight="false" outlineLevel="0" collapsed="false">
      <c r="A110" s="2" t="n">
        <v>109</v>
      </c>
      <c r="B110" s="2" t="s">
        <v>104</v>
      </c>
      <c r="C110" s="2" t="s">
        <v>119</v>
      </c>
      <c r="D110" s="3" t="n">
        <v>0.209</v>
      </c>
      <c r="E110" s="4" t="n">
        <v>9069</v>
      </c>
      <c r="F110" s="2" t="n">
        <f aca="false">COUNTIFS($B$2:$B$151,B110,$D$2:$D$151,"&gt;"&amp;D110)+1</f>
        <v>15</v>
      </c>
      <c r="G110" s="2" t="n">
        <f aca="false">RANK(D110,$D$2:$D$151,0)</f>
        <v>91</v>
      </c>
    </row>
    <row r="111" customFormat="false" ht="15" hidden="false" customHeight="false" outlineLevel="0" collapsed="false">
      <c r="A111" s="2" t="n">
        <v>110</v>
      </c>
      <c r="B111" s="2" t="s">
        <v>104</v>
      </c>
      <c r="C111" s="2" t="s">
        <v>120</v>
      </c>
      <c r="D111" s="3" t="n">
        <v>0.227</v>
      </c>
      <c r="E111" s="4" t="n">
        <v>11335</v>
      </c>
      <c r="F111" s="2" t="n">
        <f aca="false">COUNTIFS($B$2:$B$151,B111,$D$2:$D$151,"&gt;"&amp;D111)+1</f>
        <v>11</v>
      </c>
      <c r="G111" s="2" t="n">
        <f aca="false">RANK(D111,$D$2:$D$151,0)</f>
        <v>70</v>
      </c>
    </row>
    <row r="112" customFormat="false" ht="15" hidden="false" customHeight="false" outlineLevel="0" collapsed="false">
      <c r="A112" s="2" t="n">
        <v>111</v>
      </c>
      <c r="B112" s="2" t="s">
        <v>121</v>
      </c>
      <c r="C112" s="2" t="s">
        <v>122</v>
      </c>
      <c r="D112" s="3" t="n">
        <v>0.348</v>
      </c>
      <c r="E112" s="4" t="n">
        <v>12077</v>
      </c>
      <c r="F112" s="2" t="n">
        <f aca="false">COUNTIFS($B$2:$B$151,B112,$D$2:$D$151,"&gt;"&amp;D112)+1</f>
        <v>1</v>
      </c>
      <c r="G112" s="2" t="n">
        <f aca="false">RANK(D112,$D$2:$D$151,0)</f>
        <v>3</v>
      </c>
    </row>
    <row r="113" customFormat="false" ht="15" hidden="false" customHeight="false" outlineLevel="0" collapsed="false">
      <c r="A113" s="2" t="n">
        <v>112</v>
      </c>
      <c r="B113" s="2" t="s">
        <v>121</v>
      </c>
      <c r="C113" s="2" t="s">
        <v>123</v>
      </c>
      <c r="D113" s="3" t="n">
        <v>0.335</v>
      </c>
      <c r="E113" s="4" t="n">
        <v>8222</v>
      </c>
      <c r="F113" s="2" t="n">
        <f aca="false">COUNTIFS($B$2:$B$151,B113,$D$2:$D$151,"&gt;"&amp;D113)+1</f>
        <v>4</v>
      </c>
      <c r="G113" s="2" t="n">
        <f aca="false">RANK(D113,$D$2:$D$151,0)</f>
        <v>11</v>
      </c>
    </row>
    <row r="114" customFormat="false" ht="15" hidden="false" customHeight="false" outlineLevel="0" collapsed="false">
      <c r="A114" s="2" t="n">
        <v>113</v>
      </c>
      <c r="B114" s="2" t="s">
        <v>121</v>
      </c>
      <c r="C114" s="2" t="s">
        <v>124</v>
      </c>
      <c r="D114" s="3" t="n">
        <v>0.322</v>
      </c>
      <c r="E114" s="4" t="n">
        <v>18616</v>
      </c>
      <c r="F114" s="2" t="n">
        <f aca="false">COUNTIFS($B$2:$B$151,B114,$D$2:$D$151,"&gt;"&amp;D114)+1</f>
        <v>9</v>
      </c>
      <c r="G114" s="2" t="n">
        <f aca="false">RANK(D114,$D$2:$D$151,0)</f>
        <v>18</v>
      </c>
    </row>
    <row r="115" customFormat="false" ht="15" hidden="false" customHeight="false" outlineLevel="0" collapsed="false">
      <c r="A115" s="2" t="n">
        <v>114</v>
      </c>
      <c r="B115" s="2" t="s">
        <v>121</v>
      </c>
      <c r="C115" s="2" t="s">
        <v>121</v>
      </c>
      <c r="D115" s="3" t="n">
        <v>0.313</v>
      </c>
      <c r="E115" s="4" t="n">
        <v>13937</v>
      </c>
      <c r="F115" s="2" t="n">
        <f aca="false">COUNTIFS($B$2:$B$151,B115,$D$2:$D$151,"&gt;"&amp;D115)+1</f>
        <v>10</v>
      </c>
      <c r="G115" s="2" t="n">
        <f aca="false">RANK(D115,$D$2:$D$151,0)</f>
        <v>21</v>
      </c>
    </row>
    <row r="116" customFormat="false" ht="15" hidden="false" customHeight="false" outlineLevel="0" collapsed="false">
      <c r="A116" s="2" t="n">
        <v>115</v>
      </c>
      <c r="B116" s="2" t="s">
        <v>121</v>
      </c>
      <c r="C116" s="2" t="s">
        <v>125</v>
      </c>
      <c r="D116" s="3" t="n">
        <v>0.333</v>
      </c>
      <c r="E116" s="4" t="n">
        <v>20515</v>
      </c>
      <c r="F116" s="2" t="n">
        <f aca="false">COUNTIFS($B$2:$B$151,B116,$D$2:$D$151,"&gt;"&amp;D116)+1</f>
        <v>6</v>
      </c>
      <c r="G116" s="2" t="n">
        <f aca="false">RANK(D116,$D$2:$D$151,0)</f>
        <v>14</v>
      </c>
    </row>
    <row r="117" customFormat="false" ht="15" hidden="false" customHeight="false" outlineLevel="0" collapsed="false">
      <c r="A117" s="2" t="n">
        <v>116</v>
      </c>
      <c r="B117" s="2" t="s">
        <v>121</v>
      </c>
      <c r="C117" s="2" t="s">
        <v>126</v>
      </c>
      <c r="D117" s="3" t="n">
        <v>0.33</v>
      </c>
      <c r="E117" s="4" t="n">
        <v>13555</v>
      </c>
      <c r="F117" s="2" t="n">
        <f aca="false">COUNTIFS($B$2:$B$151,B117,$D$2:$D$151,"&gt;"&amp;D117)+1</f>
        <v>7</v>
      </c>
      <c r="G117" s="2" t="n">
        <f aca="false">RANK(D117,$D$2:$D$151,0)</f>
        <v>15</v>
      </c>
    </row>
    <row r="118" customFormat="false" ht="15" hidden="false" customHeight="false" outlineLevel="0" collapsed="false">
      <c r="A118" s="2" t="n">
        <v>117</v>
      </c>
      <c r="B118" s="2" t="s">
        <v>121</v>
      </c>
      <c r="C118" s="2" t="s">
        <v>127</v>
      </c>
      <c r="D118" s="3" t="n">
        <v>0.325</v>
      </c>
      <c r="E118" s="4" t="n">
        <v>11359</v>
      </c>
      <c r="F118" s="2" t="n">
        <f aca="false">COUNTIFS($B$2:$B$151,B118,$D$2:$D$151,"&gt;"&amp;D118)+1</f>
        <v>8</v>
      </c>
      <c r="G118" s="2" t="n">
        <f aca="false">RANK(D118,$D$2:$D$151,0)</f>
        <v>17</v>
      </c>
    </row>
    <row r="119" customFormat="false" ht="15" hidden="false" customHeight="false" outlineLevel="0" collapsed="false">
      <c r="A119" s="2" t="n">
        <v>118</v>
      </c>
      <c r="B119" s="2" t="s">
        <v>121</v>
      </c>
      <c r="C119" s="2" t="s">
        <v>128</v>
      </c>
      <c r="D119" s="3" t="n">
        <v>0.343</v>
      </c>
      <c r="E119" s="4" t="n">
        <v>14348</v>
      </c>
      <c r="F119" s="2" t="n">
        <f aca="false">COUNTIFS($B$2:$B$151,B119,$D$2:$D$151,"&gt;"&amp;D119)+1</f>
        <v>2</v>
      </c>
      <c r="G119" s="2" t="n">
        <f aca="false">RANK(D119,$D$2:$D$151,0)</f>
        <v>7</v>
      </c>
    </row>
    <row r="120" customFormat="false" ht="15" hidden="false" customHeight="false" outlineLevel="0" collapsed="false">
      <c r="A120" s="2" t="n">
        <v>119</v>
      </c>
      <c r="B120" s="2" t="s">
        <v>121</v>
      </c>
      <c r="C120" s="2" t="s">
        <v>129</v>
      </c>
      <c r="D120" s="3" t="n">
        <v>0.334</v>
      </c>
      <c r="E120" s="4" t="n">
        <v>12957</v>
      </c>
      <c r="F120" s="2" t="n">
        <f aca="false">COUNTIFS($B$2:$B$151,B120,$D$2:$D$151,"&gt;"&amp;D120)+1</f>
        <v>5</v>
      </c>
      <c r="G120" s="2" t="n">
        <f aca="false">RANK(D120,$D$2:$D$151,0)</f>
        <v>12</v>
      </c>
    </row>
    <row r="121" customFormat="false" ht="15" hidden="false" customHeight="false" outlineLevel="0" collapsed="false">
      <c r="A121" s="2" t="n">
        <v>120</v>
      </c>
      <c r="B121" s="2" t="s">
        <v>121</v>
      </c>
      <c r="C121" s="2" t="s">
        <v>130</v>
      </c>
      <c r="D121" s="3" t="n">
        <v>0.341</v>
      </c>
      <c r="E121" s="4" t="n">
        <v>6069</v>
      </c>
      <c r="F121" s="2" t="n">
        <f aca="false">COUNTIFS($B$2:$B$151,B121,$D$2:$D$151,"&gt;"&amp;D121)+1</f>
        <v>3</v>
      </c>
      <c r="G121" s="2" t="n">
        <f aca="false">RANK(D121,$D$2:$D$151,0)</f>
        <v>8</v>
      </c>
    </row>
    <row r="122" customFormat="false" ht="15" hidden="false" customHeight="false" outlineLevel="0" collapsed="false">
      <c r="A122" s="2" t="n">
        <v>121</v>
      </c>
      <c r="B122" s="2" t="s">
        <v>121</v>
      </c>
      <c r="C122" s="2" t="s">
        <v>131</v>
      </c>
      <c r="D122" s="3" t="n">
        <v>0.283</v>
      </c>
      <c r="E122" s="4" t="n">
        <v>14368</v>
      </c>
      <c r="F122" s="2" t="n">
        <f aca="false">COUNTIFS($B$2:$B$151,B122,$D$2:$D$151,"&gt;"&amp;D122)+1</f>
        <v>11</v>
      </c>
      <c r="G122" s="2" t="n">
        <f aca="false">RANK(D122,$D$2:$D$151,0)</f>
        <v>32</v>
      </c>
    </row>
    <row r="123" customFormat="false" ht="15" hidden="false" customHeight="false" outlineLevel="0" collapsed="false">
      <c r="A123" s="2" t="n">
        <v>122</v>
      </c>
      <c r="B123" s="2" t="s">
        <v>121</v>
      </c>
      <c r="C123" s="2" t="s">
        <v>132</v>
      </c>
      <c r="D123" s="3" t="n">
        <v>0.271</v>
      </c>
      <c r="E123" s="4" t="n">
        <v>16255</v>
      </c>
      <c r="F123" s="2" t="n">
        <f aca="false">COUNTIFS($B$2:$B$151,B123,$D$2:$D$151,"&gt;"&amp;D123)+1</f>
        <v>12</v>
      </c>
      <c r="G123" s="2" t="n">
        <f aca="false">RANK(D123,$D$2:$D$151,0)</f>
        <v>39</v>
      </c>
    </row>
    <row r="124" customFormat="false" ht="15" hidden="false" customHeight="false" outlineLevel="0" collapsed="false">
      <c r="A124" s="2" t="n">
        <v>123</v>
      </c>
      <c r="B124" s="2" t="s">
        <v>133</v>
      </c>
      <c r="C124" s="2" t="s">
        <v>134</v>
      </c>
      <c r="D124" s="3" t="n">
        <v>0.24</v>
      </c>
      <c r="E124" s="4" t="n">
        <v>6576</v>
      </c>
      <c r="F124" s="2" t="n">
        <f aca="false">COUNTIFS($B$2:$B$151,B124,$D$2:$D$151,"&gt;"&amp;D124)+1</f>
        <v>7</v>
      </c>
      <c r="G124" s="2" t="n">
        <f aca="false">RANK(D124,$D$2:$D$151,0)</f>
        <v>61</v>
      </c>
    </row>
    <row r="125" customFormat="false" ht="15" hidden="false" customHeight="false" outlineLevel="0" collapsed="false">
      <c r="A125" s="2" t="n">
        <v>124</v>
      </c>
      <c r="B125" s="2" t="s">
        <v>133</v>
      </c>
      <c r="C125" s="2" t="s">
        <v>135</v>
      </c>
      <c r="D125" s="3" t="n">
        <v>0.257</v>
      </c>
      <c r="E125" s="4" t="n">
        <v>11966</v>
      </c>
      <c r="F125" s="2" t="n">
        <f aca="false">COUNTIFS($B$2:$B$151,B125,$D$2:$D$151,"&gt;"&amp;D125)+1</f>
        <v>4</v>
      </c>
      <c r="G125" s="2" t="n">
        <f aca="false">RANK(D125,$D$2:$D$151,0)</f>
        <v>48</v>
      </c>
    </row>
    <row r="126" customFormat="false" ht="15" hidden="false" customHeight="false" outlineLevel="0" collapsed="false">
      <c r="A126" s="2" t="n">
        <v>125</v>
      </c>
      <c r="B126" s="2" t="s">
        <v>133</v>
      </c>
      <c r="C126" s="2" t="s">
        <v>136</v>
      </c>
      <c r="D126" s="3" t="n">
        <v>0.262</v>
      </c>
      <c r="E126" s="4" t="n">
        <v>5895</v>
      </c>
      <c r="F126" s="2" t="n">
        <f aca="false">COUNTIFS($B$2:$B$151,B126,$D$2:$D$151,"&gt;"&amp;D126)+1</f>
        <v>3</v>
      </c>
      <c r="G126" s="2" t="n">
        <f aca="false">RANK(D126,$D$2:$D$151,0)</f>
        <v>47</v>
      </c>
    </row>
    <row r="127" customFormat="false" ht="15" hidden="false" customHeight="false" outlineLevel="0" collapsed="false">
      <c r="A127" s="2" t="n">
        <v>126</v>
      </c>
      <c r="B127" s="2" t="s">
        <v>133</v>
      </c>
      <c r="C127" s="2" t="s">
        <v>137</v>
      </c>
      <c r="D127" s="3" t="n">
        <v>0.231</v>
      </c>
      <c r="E127" s="4" t="n">
        <v>4545</v>
      </c>
      <c r="F127" s="2" t="n">
        <f aca="false">COUNTIFS($B$2:$B$151,B127,$D$2:$D$151,"&gt;"&amp;D127)+1</f>
        <v>9</v>
      </c>
      <c r="G127" s="2" t="n">
        <f aca="false">RANK(D127,$D$2:$D$151,0)</f>
        <v>67</v>
      </c>
    </row>
    <row r="128" customFormat="false" ht="15" hidden="false" customHeight="false" outlineLevel="0" collapsed="false">
      <c r="A128" s="2" t="n">
        <v>127</v>
      </c>
      <c r="B128" s="2" t="s">
        <v>133</v>
      </c>
      <c r="C128" s="2" t="s">
        <v>138</v>
      </c>
      <c r="D128" s="3" t="n">
        <v>0.217</v>
      </c>
      <c r="E128" s="4" t="n">
        <v>4078</v>
      </c>
      <c r="F128" s="2" t="n">
        <f aca="false">COUNTIFS($B$2:$B$151,B128,$D$2:$D$151,"&gt;"&amp;D128)+1</f>
        <v>11</v>
      </c>
      <c r="G128" s="2" t="n">
        <f aca="false">RANK(D128,$D$2:$D$151,0)</f>
        <v>83</v>
      </c>
    </row>
    <row r="129" customFormat="false" ht="15" hidden="false" customHeight="false" outlineLevel="0" collapsed="false">
      <c r="A129" s="2" t="n">
        <v>128</v>
      </c>
      <c r="B129" s="2" t="s">
        <v>133</v>
      </c>
      <c r="C129" s="2" t="s">
        <v>139</v>
      </c>
      <c r="D129" s="3" t="n">
        <v>0.23</v>
      </c>
      <c r="E129" s="4" t="n">
        <v>4214</v>
      </c>
      <c r="F129" s="2" t="n">
        <f aca="false">COUNTIFS($B$2:$B$151,B129,$D$2:$D$151,"&gt;"&amp;D129)+1</f>
        <v>10</v>
      </c>
      <c r="G129" s="2" t="n">
        <f aca="false">RANK(D129,$D$2:$D$151,0)</f>
        <v>68</v>
      </c>
    </row>
    <row r="130" customFormat="false" ht="15" hidden="false" customHeight="false" outlineLevel="0" collapsed="false">
      <c r="A130" s="2" t="n">
        <v>129</v>
      </c>
      <c r="B130" s="2" t="s">
        <v>133</v>
      </c>
      <c r="C130" s="2" t="s">
        <v>140</v>
      </c>
      <c r="D130" s="3" t="n">
        <v>0.194</v>
      </c>
      <c r="E130" s="4" t="n">
        <v>6799</v>
      </c>
      <c r="F130" s="2" t="n">
        <f aca="false">COUNTIFS($B$2:$B$151,B130,$D$2:$D$151,"&gt;"&amp;D130)+1</f>
        <v>20</v>
      </c>
      <c r="G130" s="2" t="n">
        <f aca="false">RANK(D130,$D$2:$D$151,0)</f>
        <v>102</v>
      </c>
    </row>
    <row r="131" customFormat="false" ht="15" hidden="false" customHeight="false" outlineLevel="0" collapsed="false">
      <c r="A131" s="2" t="n">
        <v>130</v>
      </c>
      <c r="B131" s="2" t="s">
        <v>133</v>
      </c>
      <c r="C131" s="2" t="s">
        <v>141</v>
      </c>
      <c r="D131" s="3" t="n">
        <v>0.209</v>
      </c>
      <c r="E131" s="4" t="n">
        <v>10248</v>
      </c>
      <c r="F131" s="2" t="n">
        <f aca="false">COUNTIFS($B$2:$B$151,B131,$D$2:$D$151,"&gt;"&amp;D131)+1</f>
        <v>13</v>
      </c>
      <c r="G131" s="2" t="n">
        <f aca="false">RANK(D131,$D$2:$D$151,0)</f>
        <v>91</v>
      </c>
    </row>
    <row r="132" customFormat="false" ht="15" hidden="false" customHeight="false" outlineLevel="0" collapsed="false">
      <c r="A132" s="2" t="n">
        <v>131</v>
      </c>
      <c r="B132" s="2" t="s">
        <v>133</v>
      </c>
      <c r="C132" s="2" t="s">
        <v>142</v>
      </c>
      <c r="D132" s="3" t="n">
        <v>0.3</v>
      </c>
      <c r="E132" s="4" t="n">
        <v>19731</v>
      </c>
      <c r="F132" s="2" t="n">
        <f aca="false">COUNTIFS($B$2:$B$151,B132,$D$2:$D$151,"&gt;"&amp;D132)+1</f>
        <v>2</v>
      </c>
      <c r="G132" s="2" t="n">
        <f aca="false">RANK(D132,$D$2:$D$151,0)</f>
        <v>24</v>
      </c>
    </row>
    <row r="133" customFormat="false" ht="15" hidden="false" customHeight="false" outlineLevel="0" collapsed="false">
      <c r="A133" s="2" t="n">
        <v>132</v>
      </c>
      <c r="B133" s="2" t="s">
        <v>133</v>
      </c>
      <c r="C133" s="2" t="s">
        <v>143</v>
      </c>
      <c r="D133" s="3" t="n">
        <v>0.243</v>
      </c>
      <c r="E133" s="4" t="n">
        <v>18154</v>
      </c>
      <c r="F133" s="2" t="n">
        <f aca="false">COUNTIFS($B$2:$B$151,B133,$D$2:$D$151,"&gt;"&amp;D133)+1</f>
        <v>6</v>
      </c>
      <c r="G133" s="2" t="n">
        <f aca="false">RANK(D133,$D$2:$D$151,0)</f>
        <v>58</v>
      </c>
    </row>
    <row r="134" customFormat="false" ht="15" hidden="false" customHeight="false" outlineLevel="0" collapsed="false">
      <c r="A134" s="2" t="n">
        <v>133</v>
      </c>
      <c r="B134" s="2" t="s">
        <v>133</v>
      </c>
      <c r="C134" s="2" t="s">
        <v>144</v>
      </c>
      <c r="D134" s="3" t="n">
        <v>0.232</v>
      </c>
      <c r="E134" s="4" t="n">
        <v>8406</v>
      </c>
      <c r="F134" s="2" t="n">
        <f aca="false">COUNTIFS($B$2:$B$151,B134,$D$2:$D$151,"&gt;"&amp;D134)+1</f>
        <v>8</v>
      </c>
      <c r="G134" s="2" t="n">
        <f aca="false">RANK(D134,$D$2:$D$151,0)</f>
        <v>66</v>
      </c>
    </row>
    <row r="135" customFormat="false" ht="15" hidden="false" customHeight="false" outlineLevel="0" collapsed="false">
      <c r="A135" s="2" t="n">
        <v>134</v>
      </c>
      <c r="B135" s="2" t="s">
        <v>133</v>
      </c>
      <c r="C135" s="2" t="s">
        <v>145</v>
      </c>
      <c r="D135" s="3" t="n">
        <v>0.189</v>
      </c>
      <c r="E135" s="4" t="n">
        <v>10504</v>
      </c>
      <c r="F135" s="2" t="n">
        <f aca="false">COUNTIFS($B$2:$B$151,B135,$D$2:$D$151,"&gt;"&amp;D135)+1</f>
        <v>22</v>
      </c>
      <c r="G135" s="2" t="n">
        <f aca="false">RANK(D135,$D$2:$D$151,0)</f>
        <v>108</v>
      </c>
    </row>
    <row r="136" customFormat="false" ht="15" hidden="false" customHeight="false" outlineLevel="0" collapsed="false">
      <c r="A136" s="2" t="n">
        <v>135</v>
      </c>
      <c r="B136" s="2" t="s">
        <v>133</v>
      </c>
      <c r="C136" s="2" t="s">
        <v>146</v>
      </c>
      <c r="D136" s="3" t="n">
        <v>0.191</v>
      </c>
      <c r="E136" s="4" t="n">
        <v>6077</v>
      </c>
      <c r="F136" s="2" t="n">
        <f aca="false">COUNTIFS($B$2:$B$151,B136,$D$2:$D$151,"&gt;"&amp;D136)+1</f>
        <v>21</v>
      </c>
      <c r="G136" s="2" t="n">
        <f aca="false">RANK(D136,$D$2:$D$151,0)</f>
        <v>107</v>
      </c>
    </row>
    <row r="137" customFormat="false" ht="15" hidden="false" customHeight="false" outlineLevel="0" collapsed="false">
      <c r="A137" s="2" t="n">
        <v>136</v>
      </c>
      <c r="B137" s="2" t="s">
        <v>133</v>
      </c>
      <c r="C137" s="2" t="s">
        <v>147</v>
      </c>
      <c r="D137" s="3" t="n">
        <v>0.168</v>
      </c>
      <c r="E137" s="4" t="n">
        <v>9214</v>
      </c>
      <c r="F137" s="2" t="n">
        <f aca="false">COUNTIFS($B$2:$B$151,B137,$D$2:$D$151,"&gt;"&amp;D137)+1</f>
        <v>26</v>
      </c>
      <c r="G137" s="2" t="n">
        <f aca="false">RANK(D137,$D$2:$D$151,0)</f>
        <v>118</v>
      </c>
    </row>
    <row r="138" customFormat="false" ht="15" hidden="false" customHeight="false" outlineLevel="0" collapsed="false">
      <c r="A138" s="2" t="n">
        <v>137</v>
      </c>
      <c r="B138" s="2" t="s">
        <v>133</v>
      </c>
      <c r="C138" s="2" t="s">
        <v>148</v>
      </c>
      <c r="D138" s="3" t="n">
        <v>0.189</v>
      </c>
      <c r="E138" s="4" t="n">
        <v>12728</v>
      </c>
      <c r="F138" s="2" t="n">
        <f aca="false">COUNTIFS($B$2:$B$151,B138,$D$2:$D$151,"&gt;"&amp;D138)+1</f>
        <v>22</v>
      </c>
      <c r="G138" s="2" t="n">
        <f aca="false">RANK(D138,$D$2:$D$151,0)</f>
        <v>108</v>
      </c>
    </row>
    <row r="139" customFormat="false" ht="15" hidden="false" customHeight="false" outlineLevel="0" collapsed="false">
      <c r="A139" s="2" t="n">
        <v>138</v>
      </c>
      <c r="B139" s="2" t="s">
        <v>133</v>
      </c>
      <c r="C139" s="2" t="s">
        <v>149</v>
      </c>
      <c r="D139" s="3" t="n">
        <v>0.2</v>
      </c>
      <c r="E139" s="4" t="n">
        <v>5400</v>
      </c>
      <c r="F139" s="2" t="n">
        <f aca="false">COUNTIFS($B$2:$B$151,B139,$D$2:$D$151,"&gt;"&amp;D139)+1</f>
        <v>16</v>
      </c>
      <c r="G139" s="2" t="n">
        <f aca="false">RANK(D139,$D$2:$D$151,0)</f>
        <v>96</v>
      </c>
    </row>
    <row r="140" customFormat="false" ht="15" hidden="false" customHeight="false" outlineLevel="0" collapsed="false">
      <c r="A140" s="2" t="n">
        <v>139</v>
      </c>
      <c r="B140" s="2" t="s">
        <v>133</v>
      </c>
      <c r="C140" s="2" t="s">
        <v>150</v>
      </c>
      <c r="D140" s="3" t="n">
        <v>0.197</v>
      </c>
      <c r="E140" s="4" t="n">
        <v>3966</v>
      </c>
      <c r="F140" s="2" t="n">
        <f aca="false">COUNTIFS($B$2:$B$151,B140,$D$2:$D$151,"&gt;"&amp;D140)+1</f>
        <v>17</v>
      </c>
      <c r="G140" s="2" t="n">
        <f aca="false">RANK(D140,$D$2:$D$151,0)</f>
        <v>99</v>
      </c>
    </row>
    <row r="141" customFormat="false" ht="15" hidden="false" customHeight="false" outlineLevel="0" collapsed="false">
      <c r="A141" s="2" t="n">
        <v>140</v>
      </c>
      <c r="B141" s="2" t="s">
        <v>133</v>
      </c>
      <c r="C141" s="2" t="s">
        <v>151</v>
      </c>
      <c r="D141" s="3" t="n">
        <v>0.196</v>
      </c>
      <c r="E141" s="4" t="n">
        <v>3622</v>
      </c>
      <c r="F141" s="2" t="n">
        <f aca="false">COUNTIFS($B$2:$B$151,B141,$D$2:$D$151,"&gt;"&amp;D141)+1</f>
        <v>18</v>
      </c>
      <c r="G141" s="2" t="n">
        <f aca="false">RANK(D141,$D$2:$D$151,0)</f>
        <v>100</v>
      </c>
    </row>
    <row r="142" customFormat="false" ht="15" hidden="false" customHeight="false" outlineLevel="0" collapsed="false">
      <c r="A142" s="2" t="n">
        <v>141</v>
      </c>
      <c r="B142" s="2" t="s">
        <v>133</v>
      </c>
      <c r="C142" s="2" t="s">
        <v>133</v>
      </c>
      <c r="D142" s="3" t="n">
        <v>0.147</v>
      </c>
      <c r="E142" s="4" t="n">
        <v>11967</v>
      </c>
      <c r="F142" s="2" t="n">
        <f aca="false">COUNTIFS($B$2:$B$151,B142,$D$2:$D$151,"&gt;"&amp;D142)+1</f>
        <v>28</v>
      </c>
      <c r="G142" s="2" t="n">
        <f aca="false">RANK(D142,$D$2:$D$151,0)</f>
        <v>122</v>
      </c>
    </row>
    <row r="143" customFormat="false" ht="15" hidden="false" customHeight="false" outlineLevel="0" collapsed="false">
      <c r="A143" s="2" t="n">
        <v>142</v>
      </c>
      <c r="B143" s="2" t="s">
        <v>133</v>
      </c>
      <c r="C143" s="2" t="s">
        <v>152</v>
      </c>
      <c r="D143" s="3" t="n">
        <v>0.195</v>
      </c>
      <c r="E143" s="4" t="n">
        <v>8782</v>
      </c>
      <c r="F143" s="2" t="n">
        <f aca="false">COUNTIFS($B$2:$B$151,B143,$D$2:$D$151,"&gt;"&amp;D143)+1</f>
        <v>19</v>
      </c>
      <c r="G143" s="2" t="n">
        <f aca="false">RANK(D143,$D$2:$D$151,0)</f>
        <v>101</v>
      </c>
    </row>
    <row r="144" customFormat="false" ht="15" hidden="false" customHeight="false" outlineLevel="0" collapsed="false">
      <c r="A144" s="2" t="n">
        <v>143</v>
      </c>
      <c r="B144" s="2" t="s">
        <v>133</v>
      </c>
      <c r="C144" s="2" t="s">
        <v>153</v>
      </c>
      <c r="D144" s="3" t="n">
        <v>0.2492</v>
      </c>
      <c r="E144" s="4" t="n">
        <v>13806</v>
      </c>
      <c r="F144" s="2" t="n">
        <f aca="false">COUNTIFS($B$2:$B$151,B144,$D$2:$D$151,"&gt;"&amp;D144)+1</f>
        <v>5</v>
      </c>
      <c r="G144" s="2" t="n">
        <f aca="false">RANK(D144,$D$2:$D$151,0)</f>
        <v>51</v>
      </c>
    </row>
    <row r="145" customFormat="false" ht="15" hidden="false" customHeight="false" outlineLevel="0" collapsed="false">
      <c r="A145" s="2" t="n">
        <v>144</v>
      </c>
      <c r="B145" s="2" t="s">
        <v>133</v>
      </c>
      <c r="C145" s="2" t="s">
        <v>154</v>
      </c>
      <c r="D145" s="3" t="n">
        <v>0.3276</v>
      </c>
      <c r="E145" s="4" t="n">
        <v>26002</v>
      </c>
      <c r="F145" s="2" t="n">
        <f aca="false">COUNTIFS($B$2:$B$151,B145,$D$2:$D$151,"&gt;"&amp;D145)+1</f>
        <v>1</v>
      </c>
      <c r="G145" s="2" t="n">
        <f aca="false">RANK(D145,$D$2:$D$151,0)</f>
        <v>16</v>
      </c>
    </row>
    <row r="146" customFormat="false" ht="15" hidden="false" customHeight="false" outlineLevel="0" collapsed="false">
      <c r="A146" s="2" t="n">
        <v>145</v>
      </c>
      <c r="B146" s="2" t="s">
        <v>133</v>
      </c>
      <c r="C146" s="2" t="s">
        <v>155</v>
      </c>
      <c r="D146" s="3" t="n">
        <v>0.2011</v>
      </c>
      <c r="E146" s="4" t="n">
        <v>5936</v>
      </c>
      <c r="F146" s="2" t="n">
        <f aca="false">COUNTIFS($B$2:$B$151,B146,$D$2:$D$151,"&gt;"&amp;D146)+1</f>
        <v>15</v>
      </c>
      <c r="G146" s="2" t="n">
        <f aca="false">RANK(D146,$D$2:$D$151,0)</f>
        <v>95</v>
      </c>
    </row>
    <row r="147" customFormat="false" ht="15" hidden="false" customHeight="false" outlineLevel="0" collapsed="false">
      <c r="A147" s="2" t="n">
        <v>146</v>
      </c>
      <c r="B147" s="2" t="s">
        <v>133</v>
      </c>
      <c r="C147" s="2" t="s">
        <v>156</v>
      </c>
      <c r="D147" s="3" t="n">
        <v>0.2032</v>
      </c>
      <c r="E147" s="4" t="n">
        <v>9243</v>
      </c>
      <c r="F147" s="2" t="n">
        <f aca="false">COUNTIFS($B$2:$B$151,B147,$D$2:$D$151,"&gt;"&amp;D147)+1</f>
        <v>14</v>
      </c>
      <c r="G147" s="2" t="n">
        <f aca="false">RANK(D147,$D$2:$D$151,0)</f>
        <v>93</v>
      </c>
    </row>
    <row r="148" customFormat="false" ht="15" hidden="false" customHeight="false" outlineLevel="0" collapsed="false">
      <c r="A148" s="2" t="n">
        <v>147</v>
      </c>
      <c r="B148" s="2" t="s">
        <v>133</v>
      </c>
      <c r="C148" s="2" t="s">
        <v>157</v>
      </c>
      <c r="D148" s="3" t="n">
        <v>0.1662</v>
      </c>
      <c r="E148" s="4" t="n">
        <v>11404</v>
      </c>
      <c r="F148" s="2" t="n">
        <f aca="false">COUNTIFS($B$2:$B$151,B148,$D$2:$D$151,"&gt;"&amp;D148)+1</f>
        <v>27</v>
      </c>
      <c r="G148" s="2" t="n">
        <f aca="false">RANK(D148,$D$2:$D$151,0)</f>
        <v>119</v>
      </c>
    </row>
    <row r="149" customFormat="false" ht="15" hidden="false" customHeight="false" outlineLevel="0" collapsed="false">
      <c r="A149" s="2" t="n">
        <v>148</v>
      </c>
      <c r="B149" s="2" t="s">
        <v>133</v>
      </c>
      <c r="C149" s="2" t="s">
        <v>158</v>
      </c>
      <c r="D149" s="3" t="n">
        <v>0.177</v>
      </c>
      <c r="E149" s="4" t="n">
        <v>8418</v>
      </c>
      <c r="F149" s="2" t="n">
        <f aca="false">COUNTIFS($B$2:$B$151,B149,$D$2:$D$151,"&gt;"&amp;D149)+1</f>
        <v>25</v>
      </c>
      <c r="G149" s="2" t="n">
        <f aca="false">RANK(D149,$D$2:$D$151,0)</f>
        <v>114</v>
      </c>
    </row>
    <row r="150" customFormat="false" ht="15" hidden="false" customHeight="false" outlineLevel="0" collapsed="false">
      <c r="A150" s="2" t="n">
        <v>149</v>
      </c>
      <c r="B150" s="2" t="s">
        <v>133</v>
      </c>
      <c r="C150" s="2" t="s">
        <v>159</v>
      </c>
      <c r="D150" s="3" t="n">
        <v>0.178</v>
      </c>
      <c r="E150" s="4" t="n">
        <v>19615</v>
      </c>
      <c r="F150" s="2" t="n">
        <f aca="false">COUNTIFS($B$2:$B$151,B150,$D$2:$D$151,"&gt;"&amp;D150)+1</f>
        <v>24</v>
      </c>
      <c r="G150" s="2" t="n">
        <f aca="false">RANK(D150,$D$2:$D$151,0)</f>
        <v>113</v>
      </c>
    </row>
    <row r="151" customFormat="false" ht="15" hidden="false" customHeight="false" outlineLevel="0" collapsed="false">
      <c r="A151" s="2" t="n">
        <v>150</v>
      </c>
      <c r="B151" s="2" t="s">
        <v>133</v>
      </c>
      <c r="C151" s="2" t="s">
        <v>160</v>
      </c>
      <c r="D151" s="3" t="n">
        <v>0.214</v>
      </c>
      <c r="E151" s="4" t="n">
        <v>10517</v>
      </c>
      <c r="F151" s="2" t="n">
        <f aca="false">COUNTIFS($B$2:$B$151,B151,$D$2:$D$151,"&gt;"&amp;D151)+1</f>
        <v>12</v>
      </c>
      <c r="G151" s="2" t="n">
        <f aca="false">RANK(D151,$D$2:$D$151,0)</f>
        <v>86</v>
      </c>
    </row>
  </sheetData>
  <autoFilter ref="A1:G15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0" width="14"/>
    <col collapsed="false" customWidth="true" hidden="false" outlineLevel="0" max="6" min="6" style="0" width="12"/>
    <col collapsed="false" customWidth="true" hidden="false" outlineLevel="0" max="7" min="7" style="0" width="34"/>
  </cols>
  <sheetData>
    <row r="1" customFormat="false" ht="31.5" hidden="false" customHeight="true" outlineLevel="0" collapsed="false">
      <c r="A1" s="1" t="s">
        <v>1</v>
      </c>
      <c r="B1" s="1" t="s">
        <v>3</v>
      </c>
      <c r="C1" s="1" t="s">
        <v>4</v>
      </c>
      <c r="D1" s="1" t="s">
        <v>161</v>
      </c>
      <c r="E1" s="1" t="s">
        <v>162</v>
      </c>
      <c r="F1" s="1" t="s">
        <v>163</v>
      </c>
      <c r="G1" s="1" t="s">
        <v>164</v>
      </c>
    </row>
    <row r="2" customFormat="false" ht="15" hidden="false" customHeight="false" outlineLevel="0" collapsed="false">
      <c r="A2" s="2" t="s">
        <v>7</v>
      </c>
      <c r="B2" s="3" t="n">
        <v>0.06</v>
      </c>
      <c r="C2" s="4" t="n">
        <v>144106</v>
      </c>
      <c r="D2" s="2" t="n">
        <f aca="false">COUNTIF('DS Divisions'!$B$2:$B$151,A2)</f>
        <v>13</v>
      </c>
      <c r="E2" s="4" t="n">
        <f aca="false">SUMIF('DS Divisions'!$B$2:$B$151,A2,'DS Divisions'!$E$2:$E$151)</f>
        <v>144106</v>
      </c>
      <c r="F2" s="5" t="n">
        <f aca="false">E2-C2</f>
        <v>0</v>
      </c>
      <c r="G2" s="2" t="str">
        <f aca="false">IF(F2=0,"Matches","Some divisions not on this page")</f>
        <v>Matches</v>
      </c>
    </row>
    <row r="3" customFormat="false" ht="15" hidden="false" customHeight="false" outlineLevel="0" collapsed="false">
      <c r="A3" s="2" t="s">
        <v>20</v>
      </c>
      <c r="B3" s="3" t="n">
        <v>0.11</v>
      </c>
      <c r="C3" s="4" t="n">
        <v>218447</v>
      </c>
      <c r="D3" s="2" t="n">
        <f aca="false">COUNTIF('DS Divisions'!$B$2:$B$151,A3)</f>
        <v>13</v>
      </c>
      <c r="E3" s="4" t="n">
        <f aca="false">SUMIF('DS Divisions'!$B$2:$B$151,A3,'DS Divisions'!$E$2:$E$151)</f>
        <v>218447</v>
      </c>
      <c r="F3" s="5" t="n">
        <f aca="false">E3-C3</f>
        <v>0</v>
      </c>
      <c r="G3" s="2" t="str">
        <f aca="false">IF(F3=0,"Matches","Some divisions not on this page")</f>
        <v>Matches</v>
      </c>
    </row>
    <row r="4" customFormat="false" ht="15" hidden="false" customHeight="false" outlineLevel="0" collapsed="false">
      <c r="A4" s="2" t="s">
        <v>33</v>
      </c>
      <c r="B4" s="3" t="n">
        <v>0.2</v>
      </c>
      <c r="C4" s="4" t="n">
        <v>179604</v>
      </c>
      <c r="D4" s="2" t="n">
        <f aca="false">COUNTIF('DS Divisions'!$B$2:$B$151,A4)</f>
        <v>14</v>
      </c>
      <c r="E4" s="4" t="n">
        <f aca="false">SUMIF('DS Divisions'!$B$2:$B$151,A4,'DS Divisions'!$E$2:$E$151)</f>
        <v>179604</v>
      </c>
      <c r="F4" s="5" t="n">
        <f aca="false">E4-C4</f>
        <v>0</v>
      </c>
      <c r="G4" s="2" t="str">
        <f aca="false">IF(F4=0,"Matches","Some divisions not on this page")</f>
        <v>Matches</v>
      </c>
    </row>
    <row r="5" customFormat="false" ht="15" hidden="false" customHeight="false" outlineLevel="0" collapsed="false">
      <c r="A5" s="2" t="s">
        <v>48</v>
      </c>
      <c r="B5" s="3" t="n">
        <v>0.25</v>
      </c>
      <c r="C5" s="4" t="n">
        <v>281523</v>
      </c>
      <c r="D5" s="2" t="n">
        <f aca="false">COUNTIF('DS Divisions'!$B$2:$B$151,A5)</f>
        <v>20</v>
      </c>
      <c r="E5" s="4" t="n">
        <f aca="false">SUMIF('DS Divisions'!$B$2:$B$151,A5,'DS Divisions'!$E$2:$E$151)</f>
        <v>281523</v>
      </c>
      <c r="F5" s="5" t="n">
        <f aca="false">E5-C5</f>
        <v>0</v>
      </c>
      <c r="G5" s="2" t="str">
        <f aca="false">IF(F5=0,"Matches","Some divisions not on this page")</f>
        <v>Matches</v>
      </c>
    </row>
    <row r="6" customFormat="false" ht="15" hidden="false" customHeight="false" outlineLevel="0" collapsed="false">
      <c r="A6" s="2" t="s">
        <v>69</v>
      </c>
      <c r="B6" s="3" t="n">
        <v>0.3</v>
      </c>
      <c r="C6" s="4" t="n">
        <v>98268</v>
      </c>
      <c r="D6" s="2" t="n">
        <f aca="false">COUNTIF('DS Divisions'!$B$2:$B$151,A6)</f>
        <v>11</v>
      </c>
      <c r="E6" s="4" t="n">
        <f aca="false">SUMIF('DS Divisions'!$B$2:$B$151,A6,'DS Divisions'!$E$2:$E$151)</f>
        <v>98268</v>
      </c>
      <c r="F6" s="5" t="n">
        <f aca="false">E6-C6</f>
        <v>0</v>
      </c>
      <c r="G6" s="2" t="str">
        <f aca="false">IF(F6=0,"Matches","Some divisions not on this page")</f>
        <v>Matches</v>
      </c>
    </row>
    <row r="7" customFormat="false" ht="15" hidden="false" customHeight="false" outlineLevel="0" collapsed="false">
      <c r="A7" s="2" t="s">
        <v>80</v>
      </c>
      <c r="B7" s="3" t="n">
        <v>0.23</v>
      </c>
      <c r="C7" s="4" t="n">
        <v>167610</v>
      </c>
      <c r="D7" s="2" t="n">
        <f aca="false">COUNTIF('DS Divisions'!$B$2:$B$151,A7)</f>
        <v>5</v>
      </c>
      <c r="E7" s="4" t="n">
        <f aca="false">SUMIF('DS Divisions'!$B$2:$B$151,A7,'DS Divisions'!$E$2:$E$151)</f>
        <v>167610</v>
      </c>
      <c r="F7" s="5" t="n">
        <f aca="false">E7-C7</f>
        <v>0</v>
      </c>
      <c r="G7" s="2" t="str">
        <f aca="false">IF(F7=0,"Matches","Some divisions not on this page")</f>
        <v>Matches</v>
      </c>
    </row>
    <row r="8" customFormat="false" ht="15" hidden="false" customHeight="false" outlineLevel="0" collapsed="false">
      <c r="A8" s="2" t="s">
        <v>85</v>
      </c>
      <c r="B8" s="3" t="n">
        <v>0.26</v>
      </c>
      <c r="C8" s="4" t="n">
        <v>221320</v>
      </c>
      <c r="D8" s="2" t="n">
        <f aca="false">COUNTIF('DS Divisions'!$B$2:$B$151,A8)</f>
        <v>18</v>
      </c>
      <c r="E8" s="4" t="n">
        <f aca="false">SUMIF('DS Divisions'!$B$2:$B$151,A8,'DS Divisions'!$E$2:$E$151)</f>
        <v>221320</v>
      </c>
      <c r="F8" s="5" t="n">
        <f aca="false">E8-C8</f>
        <v>0</v>
      </c>
      <c r="G8" s="2" t="str">
        <f aca="false">IF(F8=0,"Matches","Some divisions not on this page")</f>
        <v>Matches</v>
      </c>
    </row>
    <row r="9" customFormat="false" ht="15" hidden="false" customHeight="false" outlineLevel="0" collapsed="false">
      <c r="A9" s="2" t="s">
        <v>104</v>
      </c>
      <c r="B9" s="3" t="n">
        <v>0.27</v>
      </c>
      <c r="C9" s="4" t="n">
        <v>176021</v>
      </c>
      <c r="D9" s="2" t="n">
        <f aca="false">COUNTIF('DS Divisions'!$B$2:$B$151,A9)</f>
        <v>16</v>
      </c>
      <c r="E9" s="4" t="n">
        <f aca="false">SUMIF('DS Divisions'!$B$2:$B$151,A9,'DS Divisions'!$E$2:$E$151)</f>
        <v>176021</v>
      </c>
      <c r="F9" s="5" t="n">
        <f aca="false">E9-C9</f>
        <v>0</v>
      </c>
      <c r="G9" s="2" t="str">
        <f aca="false">IF(F9=0,"Matches","Some divisions not on this page")</f>
        <v>Matches</v>
      </c>
    </row>
    <row r="10" customFormat="false" ht="15" hidden="false" customHeight="false" outlineLevel="0" collapsed="false">
      <c r="A10" s="2" t="s">
        <v>121</v>
      </c>
      <c r="B10" s="3" t="n">
        <v>0.32</v>
      </c>
      <c r="C10" s="4" t="n">
        <v>162278</v>
      </c>
      <c r="D10" s="2" t="n">
        <f aca="false">COUNTIF('DS Divisions'!$B$2:$B$151,A10)</f>
        <v>12</v>
      </c>
      <c r="E10" s="4" t="n">
        <f aca="false">SUMIF('DS Divisions'!$B$2:$B$151,A10,'DS Divisions'!$E$2:$E$151)</f>
        <v>162278</v>
      </c>
      <c r="F10" s="5" t="n">
        <f aca="false">E10-C10</f>
        <v>0</v>
      </c>
      <c r="G10" s="2" t="str">
        <f aca="false">IF(F10=0,"Matches","Some divisions not on this page")</f>
        <v>Matches</v>
      </c>
    </row>
    <row r="11" customFormat="false" ht="15" hidden="false" customHeight="false" outlineLevel="0" collapsed="false">
      <c r="A11" s="2" t="s">
        <v>133</v>
      </c>
      <c r="B11" s="3" t="n">
        <v>0.25</v>
      </c>
      <c r="C11" s="4" t="n">
        <v>305364</v>
      </c>
      <c r="D11" s="2" t="n">
        <f aca="false">COUNTIF('DS Divisions'!$B$2:$B$151,A11)</f>
        <v>28</v>
      </c>
      <c r="E11" s="4" t="n">
        <f aca="false">SUMIF('DS Divisions'!$B$2:$B$151,A11,'DS Divisions'!$E$2:$E$151)</f>
        <v>277813</v>
      </c>
      <c r="F11" s="5" t="n">
        <f aca="false">E11-C11</f>
        <v>-27551</v>
      </c>
      <c r="G11" s="2" t="str">
        <f aca="false">IF(F11=0,"Matches","Some divisions not on this page")</f>
        <v>Some divisions not on this page</v>
      </c>
    </row>
    <row r="12" customFormat="false" ht="15" hidden="false" customHeight="false" outlineLevel="0" collapsed="false">
      <c r="A12" s="6" t="s">
        <v>165</v>
      </c>
      <c r="C12" s="7" t="n">
        <f aca="false">SUM(C2:C11)</f>
        <v>1954541</v>
      </c>
      <c r="D12" s="6" t="n">
        <f aca="false">SUM(D2:D11)</f>
        <v>150</v>
      </c>
      <c r="E12" s="7" t="n">
        <f aca="false">SUM(E2:E11)</f>
        <v>1926990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23.85" hidden="false" customHeight="false" outlineLevel="0" collapsed="false">
      <c r="A1" s="8" t="s">
        <v>166</v>
      </c>
    </row>
    <row r="2" customFormat="false" ht="15" hidden="false" customHeight="false" outlineLevel="0" collapsed="false">
      <c r="A2" s="9" t="s">
        <v>167</v>
      </c>
    </row>
    <row r="3" customFormat="false" ht="15" hidden="false" customHeight="false" outlineLevel="0" collapsed="false">
      <c r="A3" s="9" t="s">
        <v>168</v>
      </c>
    </row>
    <row r="4" customFormat="false" ht="23.85" hidden="false" customHeight="false" outlineLevel="0" collapsed="false">
      <c r="A4" s="9" t="s">
        <v>169</v>
      </c>
    </row>
    <row r="5" customFormat="false" ht="23.85" hidden="false" customHeight="false" outlineLevel="0" collapsed="false">
      <c r="A5" s="9" t="s">
        <v>170</v>
      </c>
    </row>
    <row r="6" customFormat="false" ht="15" hidden="false" customHeight="false" outlineLevel="0" collapsed="false">
      <c r="A6" s="9" t="s">
        <v>171</v>
      </c>
    </row>
    <row r="7" customFormat="false" ht="15" hidden="false" customHeight="false" outlineLevel="0" collapsed="false">
      <c r="A7" s="9" t="s">
        <v>172</v>
      </c>
    </row>
    <row r="8" customFormat="false" ht="15" hidden="false" customHeight="false" outlineLevel="0" collapsed="false">
      <c r="A8" s="9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2026-09-25T05:47:26Z</dcterms:created>
  <dc:creator>openpyxl</dc:creator>
  <dc:description/>
  <dc:language>en-US</dc:language>
  <cp:lastModifiedBy/>
  <dcterms:modified xsi:type="dcterms:W3CDTF">2026-09-25T05:47:26Z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