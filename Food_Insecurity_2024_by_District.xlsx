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 Insecurity 2024" sheetId="1" state="visible" r:id="rId3"/>
  </sheets>
  <definedNames>
    <definedName function="false" hidden="true" localSheetId="0" name="_xlnm._FilterDatabase" vbProcedure="false">'Food Insecurity 2024'!$A$1:$E$26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<sst xmlns="http://schemas.openxmlformats.org/spreadsheetml/2006/main" count="32" uniqueCount="32">
  <si>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District</t>
  </si>
  <si>
    <t xml:space="preserve">Food insecure households (%)</t>
  </si>
  <si>
    <t xml:space="preserve">Food secure households (%)</t>
  </si>
  <si>
    <t xml:space="preserve">Level (WFP map band)</t>
  </si>
  <si>
    <t xml:space="preserve">Rank (1 = most food insecure)</t>
  </si>
  <si>
    <t xml:space="preserve">Mullaitivu</t>
  </si>
  <si>
    <t xml:space="preserve">Kilinochchi</t>
  </si>
  <si>
    <t xml:space="preserve">Mannar</t>
  </si>
  <si>
    <t xml:space="preserve">Nuwara Eliya</t>
  </si>
  <si>
    <t xml:space="preserve">Vavuniya</t>
  </si>
  <si>
    <t xml:space="preserve">Ratnapura</t>
  </si>
  <si>
    <t xml:space="preserve">Batticaloa</t>
  </si>
  <si>
    <t xml:space="preserve">Monaragala</t>
  </si>
  <si>
    <t xml:space="preserve">Matale</t>
  </si>
  <si>
    <t xml:space="preserve">Trincomalee</t>
  </si>
  <si>
    <t xml:space="preserve">Puttalam</t>
  </si>
  <si>
    <t xml:space="preserve">Ampara</t>
  </si>
  <si>
    <t xml:space="preserve">Kurunegala</t>
  </si>
  <si>
    <t xml:space="preserve">Badulla</t>
  </si>
  <si>
    <t xml:space="preserve">Galle</t>
  </si>
  <si>
    <t xml:space="preserve">Matara</t>
  </si>
  <si>
    <t xml:space="preserve">Jaffna</t>
  </si>
  <si>
    <t xml:space="preserve">Polonnaruwa</t>
  </si>
  <si>
    <t xml:space="preserve">Gampaha</t>
  </si>
  <si>
    <t xml:space="preserve">Anuradhapura</t>
  </si>
  <si>
    <t xml:space="preserve">Kalutara</t>
  </si>
  <si>
    <t xml:space="preserve">Hambantota</t>
  </si>
  <si>
    <t xml:space="preserve">Kandy</t>
  </si>
  <si>
    <t xml:space="preserve">Kegalle</t>
  </si>
  <si>
    <t xml:space="preserve">Colombo</t>
  </si>
  <si>
    <t xml:space="preserve">Source: World Food Programme, Map 1 — Percentage of food insecure households by district, 2024 (provided by user).</t>
  </si>
  <si>
    <t xml:space="preserve">Blue = source data. Food secure % and rank are formulas. Bands match the colour groups on the WFP map.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</si>
</sst>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F6000"/>
        <bgColor rgb="FF993300"/>
      </patternFill>
    </fill>
    <fill>
      <patternFill patternType="solid">
        <fgColor rgb="FFC9A227"/>
        <bgColor rgb="FFDCC56A"/>
      </patternFill>
    </fill>
    <fill>
      <patternFill patternType="solid">
        <fgColor rgb="FFDCC56A"/>
        <bgColor rgb="FFEFE0A8"/>
      </patternFill>
    </fill>
    <fill>
      <patternFill patternType="solid">
        <fgColor rgb="FFEFE0A8"/>
        <bgColor rgb="FFFBF6DC"/>
      </patternFill>
    </fill>
    <fill>
      <patternFill patternType="solid">
        <fgColor rgb="FFFBF6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F6000"/>
          <bgColor rgb="FF000000"/>
        </patternFill>
      </fill>
    </dxf>
    <dxf>
      <fill>
        <patternFill patternType="solid">
          <fgColor rgb="FFC9A227"/>
          <bgColor rgb="FF000000"/>
        </patternFill>
      </fill>
    </dxf>
    <dxf>
      <fill>
        <patternFill patternType="solid">
          <fgColor rgb="FFDCC56A"/>
          <bgColor rgb="FF000000"/>
        </patternFill>
      </fill>
    </dxf>
    <dxf>
      <fill>
        <patternFill patternType="solid">
          <fgColor rgb="FFEFE0A8"/>
          <bgColor rgb="FF000000"/>
        </patternFill>
      </fill>
    </dxf>
    <dxf>
      <fill>
        <patternFill patternType="solid">
          <fgColor rgb="FFFBF6D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BF6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0A8"/>
      <rgbColor rgb="FF3366FF"/>
      <rgbColor rgb="FF33CCCC"/>
      <rgbColor rgb="FF99CC00"/>
      <rgbColor rgb="FFDCC56A"/>
      <rgbColor rgb="FFC9A22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0.293</v>
      </c>
      <c r="C2" s="4" t="n">
        <f aca="false">1-B2</f>
        <v>0.707</v>
      </c>
      <c r="D2" s="5" t="str">
        <f aca="false">IF(B2&gt;0.227,"Very high (&gt; 22.7%)",IF(B2&gt;=0.179,"High (17.9% – 22.7%)",IF(B2&gt;=0.128,"Moderate (12.8% – 17.9%)","Low (&lt; 12.8%)")))</f>
        <v>Very high (&gt; 22.7%)</v>
      </c>
      <c r="E2" s="5" t="n">
        <f aca="false">RANK(B2,$B$2:$B$26,0)</f>
        <v>1</v>
      </c>
    </row>
    <row r="3" customFormat="false" ht="15" hidden="false" customHeight="false" outlineLevel="0" collapsed="false">
      <c r="A3" s="2" t="s">
        <v>6</v>
      </c>
      <c r="B3" s="3" t="n">
        <v>0.29</v>
      </c>
      <c r="C3" s="4" t="n">
        <f aca="false">1-B3</f>
        <v>0.71</v>
      </c>
      <c r="D3" s="5" t="str">
        <f aca="false">IF(B3&gt;0.227,"Very high (&gt; 22.7%)",IF(B3&gt;=0.179,"High (17.9% – 22.7%)",IF(B3&gt;=0.128,"Moderate (12.8% – 17.9%)","Low (&lt; 12.8%)")))</f>
        <v>Very high (&gt; 22.7%)</v>
      </c>
      <c r="E3" s="5" t="n">
        <f aca="false">RANK(B3,$B$2:$B$26,0)</f>
        <v>2</v>
      </c>
    </row>
    <row r="4" customFormat="false" ht="15" hidden="false" customHeight="false" outlineLevel="0" collapsed="false">
      <c r="A4" s="2" t="s">
        <v>7</v>
      </c>
      <c r="B4" s="3" t="n">
        <v>0.289</v>
      </c>
      <c r="C4" s="4" t="n">
        <f aca="false">1-B4</f>
        <v>0.711</v>
      </c>
      <c r="D4" s="5" t="str">
        <f aca="false">IF(B4&gt;0.227,"Very high (&gt; 22.7%)",IF(B4&gt;=0.179,"High (17.9% – 22.7%)",IF(B4&gt;=0.128,"Moderate (12.8% – 17.9%)","Low (&lt; 12.8%)")))</f>
        <v>Very high (&gt; 22.7%)</v>
      </c>
      <c r="E4" s="5" t="n">
        <f aca="false">RANK(B4,$B$2:$B$26,0)</f>
        <v>3</v>
      </c>
    </row>
    <row r="5" customFormat="false" ht="15" hidden="false" customHeight="false" outlineLevel="0" collapsed="false">
      <c r="A5" s="2" t="s">
        <v>8</v>
      </c>
      <c r="B5" s="3" t="n">
        <v>0.275</v>
      </c>
      <c r="C5" s="4" t="n">
        <f aca="false">1-B5</f>
        <v>0.725</v>
      </c>
      <c r="D5" s="5" t="str">
        <f aca="false">IF(B5&gt;0.227,"Very high (&gt; 22.7%)",IF(B5&gt;=0.179,"High (17.9% – 22.7%)",IF(B5&gt;=0.128,"Moderate (12.8% – 17.9%)","Low (&lt; 12.8%)")))</f>
        <v>Very high (&gt; 22.7%)</v>
      </c>
      <c r="E5" s="5" t="n">
        <f aca="false">RANK(B5,$B$2:$B$26,0)</f>
        <v>4</v>
      </c>
    </row>
    <row r="6" customFormat="false" ht="15" hidden="false" customHeight="false" outlineLevel="0" collapsed="false">
      <c r="A6" s="2" t="s">
        <v>9</v>
      </c>
      <c r="B6" s="3" t="n">
        <v>0.272</v>
      </c>
      <c r="C6" s="4" t="n">
        <f aca="false">1-B6</f>
        <v>0.728</v>
      </c>
      <c r="D6" s="5" t="str">
        <f aca="false">IF(B6&gt;0.227,"Very high (&gt; 22.7%)",IF(B6&gt;=0.179,"High (17.9% – 22.7%)",IF(B6&gt;=0.128,"Moderate (12.8% – 17.9%)","Low (&lt; 12.8%)")))</f>
        <v>Very high (&gt; 22.7%)</v>
      </c>
      <c r="E6" s="5" t="n">
        <f aca="false">RANK(B6,$B$2:$B$26,0)</f>
        <v>5</v>
      </c>
    </row>
    <row r="7" customFormat="false" ht="15" hidden="false" customHeight="false" outlineLevel="0" collapsed="false">
      <c r="A7" s="2" t="s">
        <v>10</v>
      </c>
      <c r="B7" s="3" t="n">
        <v>0.262</v>
      </c>
      <c r="C7" s="4" t="n">
        <f aca="false">1-B7</f>
        <v>0.738</v>
      </c>
      <c r="D7" s="5" t="str">
        <f aca="false">IF(B7&gt;0.227,"Very high (&gt; 22.7%)",IF(B7&gt;=0.179,"High (17.9% – 22.7%)",IF(B7&gt;=0.128,"Moderate (12.8% – 17.9%)","Low (&lt; 12.8%)")))</f>
        <v>Very high (&gt; 22.7%)</v>
      </c>
      <c r="E7" s="5" t="n">
        <f aca="false">RANK(B7,$B$2:$B$26,0)</f>
        <v>6</v>
      </c>
    </row>
    <row r="8" customFormat="false" ht="15" hidden="false" customHeight="false" outlineLevel="0" collapsed="false">
      <c r="A8" s="6" t="s">
        <v>11</v>
      </c>
      <c r="B8" s="7" t="n">
        <v>0.227</v>
      </c>
      <c r="C8" s="8" t="n">
        <f aca="false">1-B8</f>
        <v>0.773</v>
      </c>
      <c r="D8" s="9" t="str">
        <f aca="false">IF(B8&gt;0.227,"Very high (&gt; 22.7%)",IF(B8&gt;=0.179,"High (17.9% – 22.7%)",IF(B8&gt;=0.128,"Moderate (12.8% – 17.9%)","Low (&lt; 12.8%)")))</f>
        <v>High (17.9% – 22.7%)</v>
      </c>
      <c r="E8" s="9" t="n">
        <f aca="false">RANK(B8,$B$2:$B$26,0)</f>
        <v>7</v>
      </c>
    </row>
    <row r="9" customFormat="false" ht="15" hidden="false" customHeight="false" outlineLevel="0" collapsed="false">
      <c r="A9" s="6" t="s">
        <v>12</v>
      </c>
      <c r="B9" s="7" t="n">
        <v>0.216</v>
      </c>
      <c r="C9" s="8" t="n">
        <f aca="false">1-B9</f>
        <v>0.784</v>
      </c>
      <c r="D9" s="9" t="str">
        <f aca="false">IF(B9&gt;0.227,"Very high (&gt; 22.7%)",IF(B9&gt;=0.179,"High (17.9% – 22.7%)",IF(B9&gt;=0.128,"Moderate (12.8% – 17.9%)","Low (&lt; 12.8%)")))</f>
        <v>High (17.9% – 22.7%)</v>
      </c>
      <c r="E9" s="9" t="n">
        <f aca="false">RANK(B9,$B$2:$B$26,0)</f>
        <v>8</v>
      </c>
    </row>
    <row r="10" customFormat="false" ht="15" hidden="false" customHeight="false" outlineLevel="0" collapsed="false">
      <c r="A10" s="6" t="s">
        <v>13</v>
      </c>
      <c r="B10" s="7" t="n">
        <v>0.212</v>
      </c>
      <c r="C10" s="8" t="n">
        <f aca="false">1-B10</f>
        <v>0.788</v>
      </c>
      <c r="D10" s="9" t="str">
        <f aca="false">IF(B10&gt;0.227,"Very high (&gt; 22.7%)",IF(B10&gt;=0.179,"High (17.9% – 22.7%)",IF(B10&gt;=0.128,"Moderate (12.8% – 17.9%)","Low (&lt; 12.8%)")))</f>
        <v>High (17.9% – 22.7%)</v>
      </c>
      <c r="E10" s="9" t="n">
        <f aca="false">RANK(B10,$B$2:$B$26,0)</f>
        <v>9</v>
      </c>
    </row>
    <row r="11" customFormat="false" ht="15" hidden="false" customHeight="false" outlineLevel="0" collapsed="false">
      <c r="A11" s="6" t="s">
        <v>14</v>
      </c>
      <c r="B11" s="7" t="n">
        <v>0.203</v>
      </c>
      <c r="C11" s="8" t="n">
        <f aca="false">1-B11</f>
        <v>0.797</v>
      </c>
      <c r="D11" s="9" t="str">
        <f aca="false">IF(B11&gt;0.227,"Very high (&gt; 22.7%)",IF(B11&gt;=0.179,"High (17.9% – 22.7%)",IF(B11&gt;=0.128,"Moderate (12.8% – 17.9%)","Low (&lt; 12.8%)")))</f>
        <v>High (17.9% – 22.7%)</v>
      </c>
      <c r="E11" s="9" t="n">
        <f aca="false">RANK(B11,$B$2:$B$26,0)</f>
        <v>10</v>
      </c>
    </row>
    <row r="12" customFormat="false" ht="15" hidden="false" customHeight="false" outlineLevel="0" collapsed="false">
      <c r="A12" s="6" t="s">
        <v>15</v>
      </c>
      <c r="B12" s="7" t="n">
        <v>0.186</v>
      </c>
      <c r="C12" s="8" t="n">
        <f aca="false">1-B12</f>
        <v>0.814</v>
      </c>
      <c r="D12" s="9" t="str">
        <f aca="false">IF(B12&gt;0.227,"Very high (&gt; 22.7%)",IF(B12&gt;=0.179,"High (17.9% – 22.7%)",IF(B12&gt;=0.128,"Moderate (12.8% – 17.9%)","Low (&lt; 12.8%)")))</f>
        <v>High (17.9% – 22.7%)</v>
      </c>
      <c r="E12" s="9" t="n">
        <f aca="false">RANK(B12,$B$2:$B$26,0)</f>
        <v>11</v>
      </c>
    </row>
    <row r="13" customFormat="false" ht="15" hidden="false" customHeight="false" outlineLevel="0" collapsed="false">
      <c r="A13" s="6" t="s">
        <v>16</v>
      </c>
      <c r="B13" s="7" t="n">
        <v>0.184</v>
      </c>
      <c r="C13" s="8" t="n">
        <f aca="false">1-B13</f>
        <v>0.816</v>
      </c>
      <c r="D13" s="9" t="str">
        <f aca="false">IF(B13&gt;0.227,"Very high (&gt; 22.7%)",IF(B13&gt;=0.179,"High (17.9% – 22.7%)",IF(B13&gt;=0.128,"Moderate (12.8% – 17.9%)","Low (&lt; 12.8%)")))</f>
        <v>High (17.9% – 22.7%)</v>
      </c>
      <c r="E13" s="9" t="n">
        <f aca="false">RANK(B13,$B$2:$B$26,0)</f>
        <v>12</v>
      </c>
    </row>
    <row r="14" customFormat="false" ht="15" hidden="false" customHeight="false" outlineLevel="0" collapsed="false">
      <c r="A14" s="6" t="s">
        <v>17</v>
      </c>
      <c r="B14" s="7" t="n">
        <v>0.179</v>
      </c>
      <c r="C14" s="8" t="n">
        <f aca="false">1-B14</f>
        <v>0.821</v>
      </c>
      <c r="D14" s="9" t="str">
        <f aca="false">IF(B14&gt;0.227,"Very high (&gt; 22.7%)",IF(B14&gt;=0.179,"High (17.9% – 22.7%)",IF(B14&gt;=0.128,"Moderate (12.8% – 17.9%)","Low (&lt; 12.8%)")))</f>
        <v>High (17.9% – 22.7%)</v>
      </c>
      <c r="E14" s="9" t="n">
        <f aca="false">RANK(B14,$B$2:$B$26,0)</f>
        <v>13</v>
      </c>
    </row>
    <row r="15" customFormat="false" ht="15" hidden="false" customHeight="false" outlineLevel="0" collapsed="false">
      <c r="A15" s="10" t="s">
        <v>18</v>
      </c>
      <c r="B15" s="11" t="n">
        <v>0.165</v>
      </c>
      <c r="C15" s="12" t="n">
        <f aca="false">1-B15</f>
        <v>0.835</v>
      </c>
      <c r="D15" s="13" t="str">
        <f aca="false">IF(B15&gt;0.227,"Very high (&gt; 22.7%)",IF(B15&gt;=0.179,"High (17.9% – 22.7%)",IF(B15&gt;=0.128,"Moderate (12.8% – 17.9%)","Low (&lt; 12.8%)")))</f>
        <v>Moderate (12.8% – 17.9%)</v>
      </c>
      <c r="E15" s="13" t="n">
        <f aca="false">RANK(B15,$B$2:$B$26,0)</f>
        <v>14</v>
      </c>
    </row>
    <row r="16" customFormat="false" ht="15" hidden="false" customHeight="false" outlineLevel="0" collapsed="false">
      <c r="A16" s="10" t="s">
        <v>19</v>
      </c>
      <c r="B16" s="11" t="n">
        <v>0.161</v>
      </c>
      <c r="C16" s="12" t="n">
        <f aca="false">1-B16</f>
        <v>0.839</v>
      </c>
      <c r="D16" s="13" t="str">
        <f aca="false">IF(B16&gt;0.227,"Very high (&gt; 22.7%)",IF(B16&gt;=0.179,"High (17.9% – 22.7%)",IF(B16&gt;=0.128,"Moderate (12.8% – 17.9%)","Low (&lt; 12.8%)")))</f>
        <v>Moderate (12.8% – 17.9%)</v>
      </c>
      <c r="E16" s="13" t="n">
        <f aca="false">RANK(B16,$B$2:$B$26,0)</f>
        <v>15</v>
      </c>
    </row>
    <row r="17" customFormat="false" ht="15" hidden="false" customHeight="false" outlineLevel="0" collapsed="false">
      <c r="A17" s="10" t="s">
        <v>20</v>
      </c>
      <c r="B17" s="11" t="n">
        <v>0.157</v>
      </c>
      <c r="C17" s="12" t="n">
        <f aca="false">1-B17</f>
        <v>0.843</v>
      </c>
      <c r="D17" s="13" t="str">
        <f aca="false">IF(B17&gt;0.227,"Very high (&gt; 22.7%)",IF(B17&gt;=0.179,"High (17.9% – 22.7%)",IF(B17&gt;=0.128,"Moderate (12.8% – 17.9%)","Low (&lt; 12.8%)")))</f>
        <v>Moderate (12.8% – 17.9%)</v>
      </c>
      <c r="E17" s="13" t="n">
        <f aca="false">RANK(B17,$B$2:$B$26,0)</f>
        <v>16</v>
      </c>
    </row>
    <row r="18" customFormat="false" ht="15" hidden="false" customHeight="false" outlineLevel="0" collapsed="false">
      <c r="A18" s="10" t="s">
        <v>21</v>
      </c>
      <c r="B18" s="11" t="n">
        <v>0.154</v>
      </c>
      <c r="C18" s="12" t="n">
        <f aca="false">1-B18</f>
        <v>0.846</v>
      </c>
      <c r="D18" s="13" t="str">
        <f aca="false">IF(B18&gt;0.227,"Very high (&gt; 22.7%)",IF(B18&gt;=0.179,"High (17.9% – 22.7%)",IF(B18&gt;=0.128,"Moderate (12.8% – 17.9%)","Low (&lt; 12.8%)")))</f>
        <v>Moderate (12.8% – 17.9%)</v>
      </c>
      <c r="E18" s="13" t="n">
        <f aca="false">RANK(B18,$B$2:$B$26,0)</f>
        <v>17</v>
      </c>
    </row>
    <row r="19" customFormat="false" ht="15" hidden="false" customHeight="false" outlineLevel="0" collapsed="false">
      <c r="A19" s="10" t="s">
        <v>22</v>
      </c>
      <c r="B19" s="11" t="n">
        <v>0.152</v>
      </c>
      <c r="C19" s="12" t="n">
        <f aca="false">1-B19</f>
        <v>0.848</v>
      </c>
      <c r="D19" s="13" t="str">
        <f aca="false">IF(B19&gt;0.227,"Very high (&gt; 22.7%)",IF(B19&gt;=0.179,"High (17.9% – 22.7%)",IF(B19&gt;=0.128,"Moderate (12.8% – 17.9%)","Low (&lt; 12.8%)")))</f>
        <v>Moderate (12.8% – 17.9%)</v>
      </c>
      <c r="E19" s="13" t="n">
        <f aca="false">RANK(B19,$B$2:$B$26,0)</f>
        <v>18</v>
      </c>
    </row>
    <row r="20" customFormat="false" ht="15" hidden="false" customHeight="false" outlineLevel="0" collapsed="false">
      <c r="A20" s="10" t="s">
        <v>23</v>
      </c>
      <c r="B20" s="11" t="n">
        <v>0.149</v>
      </c>
      <c r="C20" s="12" t="n">
        <f aca="false">1-B20</f>
        <v>0.851</v>
      </c>
      <c r="D20" s="13" t="str">
        <f aca="false">IF(B20&gt;0.227,"Very high (&gt; 22.7%)",IF(B20&gt;=0.179,"High (17.9% – 22.7%)",IF(B20&gt;=0.128,"Moderate (12.8% – 17.9%)","Low (&lt; 12.8%)")))</f>
        <v>Moderate (12.8% – 17.9%)</v>
      </c>
      <c r="E20" s="13" t="n">
        <f aca="false">RANK(B20,$B$2:$B$26,0)</f>
        <v>19</v>
      </c>
    </row>
    <row r="21" customFormat="false" ht="15" hidden="false" customHeight="false" outlineLevel="0" collapsed="false">
      <c r="A21" s="10" t="s">
        <v>24</v>
      </c>
      <c r="B21" s="11" t="n">
        <v>0.128</v>
      </c>
      <c r="C21" s="12" t="n">
        <f aca="false">1-B21</f>
        <v>0.872</v>
      </c>
      <c r="D21" s="13" t="str">
        <f aca="false">IF(B21&gt;0.227,"Very high (&gt; 22.7%)",IF(B21&gt;=0.179,"High (17.9% – 22.7%)",IF(B21&gt;=0.128,"Moderate (12.8% – 17.9%)","Low (&lt; 12.8%)")))</f>
        <v>Moderate (12.8% – 17.9%)</v>
      </c>
      <c r="E21" s="13" t="n">
        <f aca="false">RANK(B21,$B$2:$B$26,0)</f>
        <v>20</v>
      </c>
    </row>
    <row r="22" customFormat="false" ht="15" hidden="false" customHeight="false" outlineLevel="0" collapsed="false">
      <c r="A22" s="14" t="s">
        <v>25</v>
      </c>
      <c r="B22" s="15" t="n">
        <v>0.124</v>
      </c>
      <c r="C22" s="16" t="n">
        <f aca="false">1-B22</f>
        <v>0.876</v>
      </c>
      <c r="D22" s="17" t="str">
        <f aca="false">IF(B22&gt;0.227,"Very high (&gt; 22.7%)",IF(B22&gt;=0.179,"High (17.9% – 22.7%)",IF(B22&gt;=0.128,"Moderate (12.8% – 17.9%)","Low (&lt; 12.8%)")))</f>
        <v>Low (&lt; 12.8%)</v>
      </c>
      <c r="E22" s="17" t="n">
        <f aca="false">RANK(B22,$B$2:$B$26,0)</f>
        <v>21</v>
      </c>
    </row>
    <row r="23" customFormat="false" ht="15" hidden="false" customHeight="false" outlineLevel="0" collapsed="false">
      <c r="A23" s="14" t="s">
        <v>26</v>
      </c>
      <c r="B23" s="15" t="n">
        <v>0.119</v>
      </c>
      <c r="C23" s="16" t="n">
        <f aca="false">1-B23</f>
        <v>0.881</v>
      </c>
      <c r="D23" s="17" t="str">
        <f aca="false">IF(B23&gt;0.227,"Very high (&gt; 22.7%)",IF(B23&gt;=0.179,"High (17.9% – 22.7%)",IF(B23&gt;=0.128,"Moderate (12.8% – 17.9%)","Low (&lt; 12.8%)")))</f>
        <v>Low (&lt; 12.8%)</v>
      </c>
      <c r="E23" s="17" t="n">
        <f aca="false">RANK(B23,$B$2:$B$26,0)</f>
        <v>22</v>
      </c>
    </row>
    <row r="24" customFormat="false" ht="15" hidden="false" customHeight="false" outlineLevel="0" collapsed="false">
      <c r="A24" s="14" t="s">
        <v>27</v>
      </c>
      <c r="B24" s="15" t="n">
        <v>0.087</v>
      </c>
      <c r="C24" s="16" t="n">
        <f aca="false">1-B24</f>
        <v>0.913</v>
      </c>
      <c r="D24" s="17" t="str">
        <f aca="false">IF(B24&gt;0.227,"Very high (&gt; 22.7%)",IF(B24&gt;=0.179,"High (17.9% – 22.7%)",IF(B24&gt;=0.128,"Moderate (12.8% – 17.9%)","Low (&lt; 12.8%)")))</f>
        <v>Low (&lt; 12.8%)</v>
      </c>
      <c r="E24" s="17" t="n">
        <f aca="false">RANK(B24,$B$2:$B$26,0)</f>
        <v>23</v>
      </c>
    </row>
    <row r="25" customFormat="false" ht="15" hidden="false" customHeight="false" outlineLevel="0" collapsed="false">
      <c r="A25" s="14" t="s">
        <v>28</v>
      </c>
      <c r="B25" s="15" t="n">
        <v>0.086</v>
      </c>
      <c r="C25" s="16" t="n">
        <f aca="false">1-B25</f>
        <v>0.914</v>
      </c>
      <c r="D25" s="17" t="str">
        <f aca="false">IF(B25&gt;0.227,"Very high (&gt; 22.7%)",IF(B25&gt;=0.179,"High (17.9% – 22.7%)",IF(B25&gt;=0.128,"Moderate (12.8% – 17.9%)","Low (&lt; 12.8%)")))</f>
        <v>Low (&lt; 12.8%)</v>
      </c>
      <c r="E25" s="17" t="n">
        <f aca="false">RANK(B25,$B$2:$B$26,0)</f>
        <v>24</v>
      </c>
    </row>
    <row r="26" customFormat="false" ht="15" hidden="false" customHeight="false" outlineLevel="0" collapsed="false">
      <c r="A26" s="14" t="s">
        <v>29</v>
      </c>
      <c r="B26" s="15" t="n">
        <v>0.067</v>
      </c>
      <c r="C26" s="16" t="n">
        <f aca="false">1-B26</f>
        <v>0.933</v>
      </c>
      <c r="D26" s="17" t="str">
        <f aca="false">IF(B26&gt;0.227,"Very high (&gt; 22.7%)",IF(B26&gt;=0.179,"High (17.9% – 22.7%)",IF(B26&gt;=0.128,"Moderate (12.8% – 17.9%)","Low (&lt; 12.8%)")))</f>
        <v>Low (&lt; 12.8%)</v>
      </c>
      <c r="E26" s="17" t="n">
        <f aca="false">RANK(B26,$B$2:$B$26,0)</f>
        <v>25</v>
      </c>
    </row>
    <row r="28" customFormat="false" ht="15" hidden="false" customHeight="false" outlineLevel="0" collapsed="false">
      <c r="A28" s="18" t="s">
        <v>30</v>
      </c>
    </row>
    <row r="29" customFormat="false" ht="15" hidden="false" customHeight="false" outlineLevel="0" collapsed="false">
      <c r="A29" s="18" t="s">
        <v>31</v>
      </c>
    </row>
  </sheetData>
  <autoFilter ref="A1:E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2026-09-25T05:58:19Z</dcterms:created>
  <dc:creator>openpyxl</dc:creator>
  <dc:description/>
  <dc:language>en-US</dc:language>
  <cp:lastModifiedBy/>
  <dcterms:modified xsi:type="dcterms:W3CDTF">2026-09-25T05:58:19Z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