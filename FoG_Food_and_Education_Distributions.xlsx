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Food - Weekly" sheetId="2" state="visible" r:id="rId4"/>
    <sheet name="Food - All Deliveries" sheetId="3" state="visible" r:id="rId5"/>
    <sheet name="Food - By Area" sheetId="4" state="visible" r:id="rId6"/>
    <sheet name="Education - How ESSP Works" sheetId="5" state="visible" r:id="rId7"/>
    <sheet name="Education - Schools" sheetId="6" state="visible" r:id="rId8"/>
    <sheet name="By District - Coverage vs Need" sheetId="7" state="visible" r:id="rId9"/>
  </sheets>
  <definedNames>
    <definedName function="false" hidden="true" localSheetId="6" name="_xlnm._FilterDatabase" vbProcedure="false">'By District - Coverage vs Need'!$A$1:$I$26</definedName>
    <definedName function="false" hidden="true" localSheetId="5" name="_xlnm._FilterDatabase" vbProcedure="false">'Education - Schools'!$A$1:$I$30</definedName>
    <definedName function="false" hidden="true" localSheetId="2" name="_xlnm._FilterDatabase" vbProcedure="false">'Food - All Deliveries'!$A$1:$F$108</definedName>
    <definedName function="false" hidden="true" localSheetId="3" name="_xlnm._FilterDatabase" vbProcedure="false">'Food - By Area'!$A$1:$F$64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<sst xmlns="http://schemas.openxmlformats.org/spreadsheetml/2006/main" count="822" uniqueCount="244">
  <si>
    <t xml:space="preserve">Foundation of Goodness — Food &amp; Education Distributions (Dec 2025 – Feb 2026)</t>
  </si>
  <si>
    <t xml:space="preserve">Metric</t>
  </si>
  <si>
    <t xml:space="preserve">Value</t>
  </si>
  <si>
    <t xml:space="preserve">Note</t>
  </si>
  <si>
    <t xml:space="preserve">FOOD — dry-ration packs</t>
  </si>
  <si>
    <t xml:space="preserve">Packs distributed (official total)</t>
  </si>
  <si>
    <t xml:space="preserve">Target was 10,000 — exceeded</t>
  </si>
  <si>
    <t xml:space="preserve">Sum of weekly totals</t>
  </si>
  <si>
    <t xml:space="preserve">Weekly table adds to 12,577 (1 less than the stated total)</t>
  </si>
  <si>
    <t xml:space="preserve">Villages covered</t>
  </si>
  <si>
    <t xml:space="preserve">Sum of area-level entries (as listed)</t>
  </si>
  <si>
    <t xml:space="preserve">Higher than 12,578 — the report lists some deliveries twice (weekly table + photo caption). Treat area totals as upper bounds.</t>
  </si>
  <si>
    <t xml:space="preserve">EDUCATION — Essential School Supply Packs (ESSP)</t>
  </si>
  <si>
    <t xml:space="preserve">ESSP requests (island-wide)</t>
  </si>
  <si>
    <t xml:space="preserve">ESSP packs received</t>
  </si>
  <si>
    <t xml:space="preserve">ESSP packs distributed (as of 3 Feb 2026)</t>
  </si>
  <si>
    <t xml:space="preserve">ESSP packs pending hand-out</t>
  </si>
  <si>
    <t xml:space="preserve">Received − distributed</t>
  </si>
  <si>
    <t xml:space="preserve">Requests still unmet</t>
  </si>
  <si>
    <t xml:space="preserve">Requests − distributed</t>
  </si>
  <si>
    <t xml:space="preserve">Students listed by school</t>
  </si>
  <si>
    <t xml:space="preserve">Schools named in the report; the rest of the 3,720 were not itemised</t>
  </si>
  <si>
    <t xml:space="preserve">Cost per ESSP pack (Rs.)</t>
  </si>
  <si>
    <t xml:space="preserve">USD 18 per pack; no admin cost deducted</t>
  </si>
  <si>
    <t xml:space="preserve">Value of packs distributed (Rs.)</t>
  </si>
  <si>
    <t xml:space="preserve">Period</t>
  </si>
  <si>
    <t xml:space="preserve">Packs</t>
  </si>
  <si>
    <t xml:space="preserve">Week 1 (1st week of Dec 2025)</t>
  </si>
  <si>
    <t xml:space="preserve">Week 2 (2nd week of Dec 2025)</t>
  </si>
  <si>
    <t xml:space="preserve">Week 3 (3rd week of Dec 2025)</t>
  </si>
  <si>
    <t xml:space="preserve">Week 4</t>
  </si>
  <si>
    <t xml:space="preserve">Week 5</t>
  </si>
  <si>
    <t xml:space="preserve">Week 6 (pending distribution)</t>
  </si>
  <si>
    <t xml:space="preserve">TOTAL</t>
  </si>
  <si>
    <t xml:space="preserve">Report states 12,578 in total.</t>
  </si>
  <si>
    <t xml:space="preserve">Area</t>
  </si>
  <si>
    <t xml:space="preserve">Province (as in report)</t>
  </si>
  <si>
    <t xml:space="preserve">District</t>
  </si>
  <si>
    <t xml:space="preserve">When</t>
  </si>
  <si>
    <t xml:space="preserve">Badulla 2</t>
  </si>
  <si>
    <t xml:space="preserve">Uva</t>
  </si>
  <si>
    <t xml:space="preserve">Badulla</t>
  </si>
  <si>
    <t xml:space="preserve">13 Dec 2025</t>
  </si>
  <si>
    <t xml:space="preserve">Badulla 1 – Hali-Ela DS Division</t>
  </si>
  <si>
    <t xml:space="preserve">9 Dec 2025</t>
  </si>
  <si>
    <t xml:space="preserve">Mihindumpitiya / Lunugala – 1</t>
  </si>
  <si>
    <t xml:space="preserve">Wk 5&amp;6</t>
  </si>
  <si>
    <t xml:space="preserve">Kandaketiya</t>
  </si>
  <si>
    <t xml:space="preserve">18 Dec 2025</t>
  </si>
  <si>
    <t xml:space="preserve">Jaffna</t>
  </si>
  <si>
    <t xml:space="preserve">Northern</t>
  </si>
  <si>
    <t xml:space="preserve">11–12 Dec 2025</t>
  </si>
  <si>
    <t xml:space="preserve">Nuwara Eliya (Kothmale &amp; N.Eliya)</t>
  </si>
  <si>
    <t xml:space="preserve">Central</t>
  </si>
  <si>
    <t xml:space="preserve">Nuwara Eliya</t>
  </si>
  <si>
    <t xml:space="preserve">Multiple</t>
  </si>
  <si>
    <t xml:space="preserve">Kothmale 250 may repeat the separate 'Kothmale' row</t>
  </si>
  <si>
    <t xml:space="preserve">Passara</t>
  </si>
  <si>
    <t xml:space="preserve">Mihindumpitiya / Lunugala – 2</t>
  </si>
  <si>
    <t xml:space="preserve">Chavakachcheri</t>
  </si>
  <si>
    <t xml:space="preserve">Palavi, Wanathawilluwa &amp; Madurankuliya</t>
  </si>
  <si>
    <t xml:space="preserve">North Western</t>
  </si>
  <si>
    <t xml:space="preserve">Puttalam</t>
  </si>
  <si>
    <t xml:space="preserve">10 Dec 2025</t>
  </si>
  <si>
    <t xml:space="preserve">Mannar</t>
  </si>
  <si>
    <t xml:space="preserve">10 &amp; 18 Dec 2025</t>
  </si>
  <si>
    <t xml:space="preserve">Pallai</t>
  </si>
  <si>
    <t xml:space="preserve">Kilinochchi</t>
  </si>
  <si>
    <t xml:space="preserve">Wk 1–3</t>
  </si>
  <si>
    <t xml:space="preserve">Oddusuddan</t>
  </si>
  <si>
    <t xml:space="preserve">Mullaitivu</t>
  </si>
  <si>
    <t xml:space="preserve">Wk 1</t>
  </si>
  <si>
    <t xml:space="preserve">Wk 3</t>
  </si>
  <si>
    <t xml:space="preserve">Thirukkovil</t>
  </si>
  <si>
    <t xml:space="preserve">Eastern</t>
  </si>
  <si>
    <t xml:space="preserve">Ampara</t>
  </si>
  <si>
    <t xml:space="preserve">Wk3 + dated entry may be the same delivery</t>
  </si>
  <si>
    <t xml:space="preserve">19 Dec 2025</t>
  </si>
  <si>
    <t xml:space="preserve">Hatton (incl. Hatton/N.Eliya)</t>
  </si>
  <si>
    <t xml:space="preserve">12–13 Dec 2025</t>
  </si>
  <si>
    <t xml:space="preserve">24 Dec 2025</t>
  </si>
  <si>
    <t xml:space="preserve">Dambulla (incl. Laggala)</t>
  </si>
  <si>
    <t xml:space="preserve">Matale</t>
  </si>
  <si>
    <t xml:space="preserve">Bandarawela</t>
  </si>
  <si>
    <t xml:space="preserve">Nawalapitiya</t>
  </si>
  <si>
    <t xml:space="preserve">Kandy</t>
  </si>
  <si>
    <t xml:space="preserve">Nuwara Eliya &amp; Welimada</t>
  </si>
  <si>
    <t xml:space="preserve">Central/Uva</t>
  </si>
  <si>
    <t xml:space="preserve">Nuwara Eliya / Badulla</t>
  </si>
  <si>
    <t xml:space="preserve">Spans two districts</t>
  </si>
  <si>
    <t xml:space="preserve">23 Dec 2025</t>
  </si>
  <si>
    <t xml:space="preserve">Angoda</t>
  </si>
  <si>
    <t xml:space="preserve">Western</t>
  </si>
  <si>
    <t xml:space="preserve">Colombo</t>
  </si>
  <si>
    <t xml:space="preserve">Ja-Ela / Makawita</t>
  </si>
  <si>
    <t xml:space="preserve">Gampaha</t>
  </si>
  <si>
    <t xml:space="preserve">12 Dec 2025</t>
  </si>
  <si>
    <t xml:space="preserve">Also 1,000 water</t>
  </si>
  <si>
    <t xml:space="preserve">Wk 2</t>
  </si>
  <si>
    <t xml:space="preserve">Halmulla, Wellampitiya</t>
  </si>
  <si>
    <t xml:space="preserve">Wk + dated entry may be the same delivery</t>
  </si>
  <si>
    <t xml:space="preserve">Gampola</t>
  </si>
  <si>
    <t xml:space="preserve">Dehiattakandiya</t>
  </si>
  <si>
    <t xml:space="preserve">Polonnaruwa (incl. Sinharajapura, Onegama)</t>
  </si>
  <si>
    <t xml:space="preserve">North Central</t>
  </si>
  <si>
    <t xml:space="preserve">Polonnaruwa</t>
  </si>
  <si>
    <t xml:space="preserve">4 Dec 2025</t>
  </si>
  <si>
    <t xml:space="preserve">Onegama 120 may repeat the 'Onagama' row</t>
  </si>
  <si>
    <t xml:space="preserve">Ratnapura</t>
  </si>
  <si>
    <t xml:space="preserve">Sabaragamuwa</t>
  </si>
  <si>
    <t xml:space="preserve">Cheddikulam</t>
  </si>
  <si>
    <t xml:space="preserve">Vavuniya</t>
  </si>
  <si>
    <t xml:space="preserve">Trincomalee (incl. Pulmude, Seruwila)</t>
  </si>
  <si>
    <t xml:space="preserve">Trincomalee</t>
  </si>
  <si>
    <t xml:space="preserve">Batticaloa</t>
  </si>
  <si>
    <t xml:space="preserve">17 Dec 2025</t>
  </si>
  <si>
    <t xml:space="preserve">29 Dec 2025</t>
  </si>
  <si>
    <t xml:space="preserve">Mahiyanganaya</t>
  </si>
  <si>
    <t xml:space="preserve">Hasalaka (incl. Udaththawa)</t>
  </si>
  <si>
    <t xml:space="preserve">Kottikawatta</t>
  </si>
  <si>
    <t xml:space="preserve">Pemaduwa – Anuradhapura</t>
  </si>
  <si>
    <t xml:space="preserve">North Central/Western</t>
  </si>
  <si>
    <t xml:space="preserve">Anuradhapura</t>
  </si>
  <si>
    <t xml:space="preserve">Sittandy</t>
  </si>
  <si>
    <t xml:space="preserve">Ridigama</t>
  </si>
  <si>
    <t xml:space="preserve">Kurunegala</t>
  </si>
  <si>
    <t xml:space="preserve">Madurankuliya, Puttalam</t>
  </si>
  <si>
    <t xml:space="preserve">Kankuveli</t>
  </si>
  <si>
    <t xml:space="preserve">Katharagama</t>
  </si>
  <si>
    <t xml:space="preserve">—</t>
  </si>
  <si>
    <t xml:space="preserve">Monaragala</t>
  </si>
  <si>
    <t xml:space="preserve">Ambathale &amp; Mulleriyawa</t>
  </si>
  <si>
    <t xml:space="preserve">Ankumbura, Karagahapitiya – Kandy</t>
  </si>
  <si>
    <t xml:space="preserve">Pahathahewahata &amp; Kundasale</t>
  </si>
  <si>
    <t xml:space="preserve">Rikillagaskada – Hanguranketa</t>
  </si>
  <si>
    <t xml:space="preserve">Kothmale</t>
  </si>
  <si>
    <t xml:space="preserve">May repeat Kothmale 250 above</t>
  </si>
  <si>
    <t xml:space="preserve">Giriulla – Kurunegala</t>
  </si>
  <si>
    <t xml:space="preserve">Onagama – Polonnaruwa</t>
  </si>
  <si>
    <t xml:space="preserve">May repeat Onegama 120 above</t>
  </si>
  <si>
    <t xml:space="preserve">Suriya Foundation – Welimada</t>
  </si>
  <si>
    <t xml:space="preserve">Muttur Relief Camp</t>
  </si>
  <si>
    <t xml:space="preserve">Mathagal</t>
  </si>
  <si>
    <t xml:space="preserve">Kandy – Pahathahewahata</t>
  </si>
  <si>
    <t xml:space="preserve">May repeat Pahathahewahata 170 above</t>
  </si>
  <si>
    <t xml:space="preserve">Yatawara – Wattegama / Kandy</t>
  </si>
  <si>
    <t xml:space="preserve">Galaha</t>
  </si>
  <si>
    <t xml:space="preserve">Maskeliya</t>
  </si>
  <si>
    <t xml:space="preserve">Small delivery – follow up</t>
  </si>
  <si>
    <t xml:space="preserve">Mulleriya</t>
  </si>
  <si>
    <t xml:space="preserve">Kolonnawa / Salamulla</t>
  </si>
  <si>
    <t xml:space="preserve">Nagahawela – Kotikawatta</t>
  </si>
  <si>
    <t xml:space="preserve">Fonseka Maniyo – Kotikawatta</t>
  </si>
  <si>
    <t xml:space="preserve">Ududumbara, Hunnasgiriya, Kandy</t>
  </si>
  <si>
    <t xml:space="preserve">Meegahakiwula &amp; Soranathota</t>
  </si>
  <si>
    <t xml:space="preserve">Central (report) / Uva</t>
  </si>
  <si>
    <t xml:space="preserve">26 Dec 2025</t>
  </si>
  <si>
    <t xml:space="preserve">Both places are in Badulla district</t>
  </si>
  <si>
    <t xml:space="preserve">Uhana, Ampara</t>
  </si>
  <si>
    <t xml:space="preserve">25 Dec 2025</t>
  </si>
  <si>
    <t xml:space="preserve">Moragolla Village, Badulla</t>
  </si>
  <si>
    <t xml:space="preserve">19 &amp; 25 Dec 2025</t>
  </si>
  <si>
    <t xml:space="preserve">Also 40 water cases, 35 mattresses / non-food items</t>
  </si>
  <si>
    <t xml:space="preserve">Soranathota / Haliella / Badulla DS Division</t>
  </si>
  <si>
    <t xml:space="preserve">May overlap Badulla 1/2 rows</t>
  </si>
  <si>
    <t xml:space="preserve">TOTAL (as listed)</t>
  </si>
  <si>
    <t xml:space="preserve">Yellow = may be the same delivery listed twice in the report. Orange = fewer than 50 packs (report suggests follow-up).</t>
  </si>
  <si>
    <t xml:space="preserve">Rank</t>
  </si>
  <si>
    <t xml:space="preserve">Total packs</t>
  </si>
  <si>
    <t xml:space="preserve">No. of deliveries</t>
  </si>
  <si>
    <t xml:space="preserve">Need signal</t>
  </si>
  <si>
    <t xml:space="preserve">Acute (300+ in one delivery)</t>
  </si>
  <si>
    <t xml:space="preserve">Recurring (2+ deliveries)</t>
  </si>
  <si>
    <t xml:space="preserve">Small — follow up</t>
  </si>
  <si>
    <t xml:space="preserve">How Foundation of Goodness gives education support</t>
  </si>
  <si>
    <t xml:space="preserve">Each child receives one Essential School Supply Pack (ESSP), requested through their school or as an individual request from a struggling student.</t>
  </si>
  <si>
    <t xml:space="preserve">Item in each pack</t>
  </si>
  <si>
    <t xml:space="preserve">Qty per child</t>
  </si>
  <si>
    <t xml:space="preserve">Purpose</t>
  </si>
  <si>
    <t xml:space="preserve">School bag</t>
  </si>
  <si>
    <t xml:space="preserve">Carry books to school</t>
  </si>
  <si>
    <t xml:space="preserve">Exercise books</t>
  </si>
  <si>
    <t xml:space="preserve">Writing books for the school term</t>
  </si>
  <si>
    <t xml:space="preserve">Pens</t>
  </si>
  <si>
    <t xml:space="preserve">Writing</t>
  </si>
  <si>
    <t xml:space="preserve">Shoe voucher</t>
  </si>
  <si>
    <t xml:space="preserve">Redeemed for a pair of school shoes</t>
  </si>
  <si>
    <t xml:space="preserve">Cost per pack (Rs.)</t>
  </si>
  <si>
    <t xml:space="preserve">Cost per pack (USD)</t>
  </si>
  <si>
    <t xml:space="preserve">Admin cost deducted</t>
  </si>
  <si>
    <t xml:space="preserve">None</t>
  </si>
  <si>
    <t xml:space="preserve">Delivery channel</t>
  </si>
  <si>
    <t xml:space="preserve">Mostly school-by-school distributions (whole class/school), plus individual requests from struggling students (e.g. Seenigama, Kolonnawa, island-wide).</t>
  </si>
  <si>
    <t xml:space="preserve">School / Centre</t>
  </si>
  <si>
    <t xml:space="preserve">Students (packs)</t>
  </si>
  <si>
    <t xml:space="preserve">School bags</t>
  </si>
  <si>
    <t xml:space="preserve">Shoe vouchers</t>
  </si>
  <si>
    <t xml:space="preserve">Pack value (Rs.)</t>
  </si>
  <si>
    <t xml:space="preserve">Mawadavila Maliyadewam Maha Vidyalaya</t>
  </si>
  <si>
    <t xml:space="preserve">Galle</t>
  </si>
  <si>
    <t xml:space="preserve">Minhaj Maha Vidyalaya – Nikagolla</t>
  </si>
  <si>
    <t xml:space="preserve">Thambalawewa Primary School</t>
  </si>
  <si>
    <t xml:space="preserve">Bt/Vinayagar Kiramam Alaimagal Vidyalayam</t>
  </si>
  <si>
    <t xml:space="preserve">Kn/Mukkompan Maha Vidyalayam – Pallai</t>
  </si>
  <si>
    <t xml:space="preserve">J/Columbuthurai Hindu Maha Vidyalayam</t>
  </si>
  <si>
    <t xml:space="preserve">Tk/Mandanai Tamil Mixed School</t>
  </si>
  <si>
    <t xml:space="preserve">Sudharmarama Dhamma School</t>
  </si>
  <si>
    <t xml:space="preserve">B/Kukulapola Kanishta Vidyalaya</t>
  </si>
  <si>
    <t xml:space="preserve">Uppalawatta Junior School</t>
  </si>
  <si>
    <t xml:space="preserve">Yatawatta Nandana Vidyalaya</t>
  </si>
  <si>
    <t xml:space="preserve">Kincora Tamil Vidyalayam</t>
  </si>
  <si>
    <t xml:space="preserve">Pathana Sawbhagya Model School</t>
  </si>
  <si>
    <t xml:space="preserve">Mu/Eeswaran Vidyalayam</t>
  </si>
  <si>
    <t xml:space="preserve">Requests from struggling students (island-wide)</t>
  </si>
  <si>
    <t xml:space="preserve">Island-wide</t>
  </si>
  <si>
    <t xml:space="preserve">CP/KOT/Delunthalamada Vidyalaya</t>
  </si>
  <si>
    <t xml:space="preserve">Thotagamuwa Vijayabha Primary School</t>
  </si>
  <si>
    <t xml:space="preserve">CP/KOT/Gankewela Vidyalaya</t>
  </si>
  <si>
    <t xml:space="preserve">Kalukunnammaduwa Vidyalaya</t>
  </si>
  <si>
    <t xml:space="preserve">Patuwatha Kimbissa Primary School</t>
  </si>
  <si>
    <t xml:space="preserve">Piyawara Pre School</t>
  </si>
  <si>
    <t xml:space="preserve">Eppala Junior School – Udugama</t>
  </si>
  <si>
    <t xml:space="preserve">Navodya Primary School – Walewala</t>
  </si>
  <si>
    <t xml:space="preserve">Lahiru Pre School</t>
  </si>
  <si>
    <t xml:space="preserve">Galkeminawa Thilaka Junior School</t>
  </si>
  <si>
    <t xml:space="preserve">Hithgoda Walpola Junior School</t>
  </si>
  <si>
    <t xml:space="preserve">Church of the Ascension Day Care Centre</t>
  </si>
  <si>
    <t xml:space="preserve">Requests from struggling students – Seenigama</t>
  </si>
  <si>
    <t xml:space="preserve">Requests from struggling students – Kolonnawa</t>
  </si>
  <si>
    <t xml:space="preserve">Food packs (as listed)</t>
  </si>
  <si>
    <t xml:space="preserve">Food deliveries</t>
  </si>
  <si>
    <t xml:space="preserve">Food insecure households 2024 (WFP %)</t>
  </si>
  <si>
    <t xml:space="preserve">Food: gap flag</t>
  </si>
  <si>
    <t xml:space="preserve">ESSP students</t>
  </si>
  <si>
    <t xml:space="preserve">Schools / centres</t>
  </si>
  <si>
    <t xml:space="preserve">Education priority rank (1 = most need)</t>
  </si>
  <si>
    <t xml:space="preserve">Education: gap flag</t>
  </si>
  <si>
    <t xml:space="preserve">Hambantota</t>
  </si>
  <si>
    <t xml:space="preserve">Kalutara</t>
  </si>
  <si>
    <t xml:space="preserve">Kegalle</t>
  </si>
  <si>
    <t xml:space="preserve">Matara</t>
  </si>
  <si>
    <t xml:space="preserve">Also: "Nuwara Eliya / Badulla" (shared delivery) and "Island-wide" ESSP requests are not in any single district row.</t>
  </si>
  <si>
    <t xml:space="preserve">Gap flag: food = WFP food insecurity ≥ 20% but &lt; 500 packs; education = top-10 education priority but &lt; 150 ESSP students.</t>
  </si>
  <si>
    <t xml:space="preserve">Need data: WFP food insecurity map 2024; education priority from the Education Needs workbook (MPI 2019 + O/L 2024).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</si>
</sst>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385723"/>
        <bgColor rgb="FF333300"/>
      </patternFill>
    </fill>
    <fill>
      <patternFill patternType="solid">
        <fgColor rgb="FFC55A11"/>
        <bgColor rgb="FF99330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2">
    <dxf>
      <fill>
        <patternFill patternType="solid">
          <fgColor rgb="FF385723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5C68A"/>
          <bgColor rgb="FF000000"/>
        </patternFill>
      </fill>
    </dxf>
    <dxf>
      <fill>
        <patternFill patternType="solid">
          <fgColor rgb="FF9CD6AB"/>
          <bgColor rgb="FF000000"/>
        </patternFill>
      </fill>
    </dxf>
    <dxf>
      <fill>
        <patternFill patternType="solid">
          <fgColor rgb="FF9DD6AC"/>
          <bgColor rgb="FF000000"/>
        </patternFill>
      </fill>
    </dxf>
    <dxf>
      <fill>
        <patternFill patternType="solid">
          <fgColor rgb="FFB6E1C1"/>
          <bgColor rgb="FF000000"/>
        </patternFill>
      </fill>
    </dxf>
    <dxf>
      <fill>
        <patternFill patternType="solid">
          <fgColor rgb="FFB8E2C3"/>
          <bgColor rgb="FF000000"/>
        </patternFill>
      </fill>
    </dxf>
    <dxf>
      <fill>
        <patternFill patternType="solid">
          <fgColor rgb="FFBBE3C5"/>
          <bgColor rgb="FF000000"/>
        </patternFill>
      </fill>
    </dxf>
    <dxf>
      <fill>
        <patternFill patternType="solid">
          <fgColor rgb="FFBEE4C8"/>
          <bgColor rgb="FF000000"/>
        </patternFill>
      </fill>
    </dxf>
    <dxf>
      <fill>
        <patternFill patternType="solid">
          <fgColor rgb="FFC1E5CA"/>
          <bgColor rgb="FF000000"/>
        </patternFill>
      </fill>
    </dxf>
    <dxf>
      <fill>
        <patternFill patternType="solid">
          <fgColor rgb="FFC2E6CB"/>
          <bgColor rgb="FF000000"/>
        </patternFill>
      </fill>
    </dxf>
    <dxf>
      <fill>
        <patternFill patternType="solid">
          <fgColor rgb="FFC6E7CF"/>
          <bgColor rgb="FF000000"/>
        </patternFill>
      </fill>
    </dxf>
    <dxf>
      <fill>
        <patternFill patternType="solid">
          <fgColor rgb="FFC6E8CF"/>
          <bgColor rgb="FF000000"/>
        </patternFill>
      </fill>
    </dxf>
    <dxf>
      <fill>
        <patternFill patternType="solid">
          <fgColor rgb="FFC7E8CF"/>
          <bgColor rgb="FF000000"/>
        </patternFill>
      </fill>
    </dxf>
    <dxf>
      <fill>
        <patternFill patternType="solid">
          <fgColor rgb="FFC8E8D1"/>
          <bgColor rgb="FF000000"/>
        </patternFill>
      </fill>
    </dxf>
    <dxf>
      <fill>
        <patternFill patternType="solid">
          <fgColor rgb="FFC8E9D1"/>
          <bgColor rgb="FF000000"/>
        </patternFill>
      </fill>
    </dxf>
    <dxf>
      <fill>
        <patternFill patternType="solid">
          <fgColor rgb="FFCCEAD4"/>
          <bgColor rgb="FF000000"/>
        </patternFill>
      </fill>
    </dxf>
    <dxf>
      <fill>
        <patternFill patternType="solid">
          <fgColor rgb="FFCDEBD5"/>
          <bgColor rgb="FF000000"/>
        </patternFill>
      </fill>
    </dxf>
    <dxf>
      <fill>
        <patternFill patternType="solid">
          <fgColor rgb="FFCFEBD6"/>
          <bgColor rgb="FF000000"/>
        </patternFill>
      </fill>
    </dxf>
    <dxf>
      <fill>
        <patternFill patternType="solid">
          <fgColor rgb="FFD0ECD7"/>
          <bgColor rgb="FF000000"/>
        </patternFill>
      </fill>
    </dxf>
    <dxf>
      <fill>
        <patternFill patternType="solid">
          <fgColor rgb="FFD3EDDA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D7EFDE"/>
          <bgColor rgb="FF000000"/>
        </patternFill>
      </fill>
    </dxf>
    <dxf>
      <fill>
        <patternFill patternType="solid">
          <fgColor rgb="FFD9F0DF"/>
          <bgColor rgb="FF000000"/>
        </patternFill>
      </fill>
    </dxf>
    <dxf>
      <fill>
        <patternFill patternType="solid">
          <fgColor rgb="FFDAF0DF"/>
          <bgColor rgb="FF000000"/>
        </patternFill>
      </fill>
    </dxf>
    <dxf>
      <fill>
        <patternFill patternType="solid">
          <fgColor rgb="FFDBF0E1"/>
          <bgColor rgb="FF000000"/>
        </patternFill>
      </fill>
    </dxf>
    <dxf>
      <fill>
        <patternFill patternType="solid">
          <fgColor rgb="FFE0F2E5"/>
          <bgColor rgb="FF000000"/>
        </patternFill>
      </fill>
    </dxf>
    <dxf>
      <fill>
        <patternFill patternType="solid">
          <fgColor rgb="FFE2F3E6"/>
          <bgColor rgb="FF000000"/>
        </patternFill>
      </fill>
    </dxf>
    <dxf>
      <fill>
        <patternFill patternType="solid">
          <fgColor rgb="FFE5F4E9"/>
          <bgColor rgb="FF000000"/>
        </patternFill>
      </fill>
    </dxf>
    <dxf>
      <fill>
        <patternFill patternType="solid">
          <fgColor rgb="FFE8F6EC"/>
          <bgColor rgb="FF000000"/>
        </patternFill>
      </fill>
    </dxf>
    <dxf>
      <fill>
        <patternFill patternType="solid">
          <fgColor rgb="FFECF7EF"/>
          <bgColor rgb="FF000000"/>
        </patternFill>
      </fill>
    </dxf>
    <dxf>
      <fill>
        <patternFill patternType="solid">
          <fgColor rgb="FFECF8EF"/>
          <bgColor rgb="FF000000"/>
        </patternFill>
      </fill>
    </dxf>
    <dxf>
      <fill>
        <patternFill patternType="solid">
          <fgColor rgb="FFEDF8F0"/>
          <bgColor rgb="FF000000"/>
        </patternFill>
      </fill>
    </dxf>
    <dxf>
      <fill>
        <patternFill patternType="solid">
          <fgColor rgb="FFF0F9F2"/>
          <bgColor rgb="FF000000"/>
        </patternFill>
      </fill>
    </dxf>
    <dxf>
      <fill>
        <patternFill patternType="solid">
          <fgColor rgb="FFF4FBF6"/>
          <bgColor rgb="FF000000"/>
        </patternFill>
      </fill>
    </dxf>
    <dxf>
      <fill>
        <patternFill patternType="solid">
          <fgColor rgb="FFF6FBF7"/>
          <bgColor rgb="FF000000"/>
        </patternFill>
      </fill>
    </dxf>
    <dxf>
      <fill>
        <patternFill patternType="solid">
          <fgColor rgb="FFF9FDFA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FFE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C0E5C9"/>
          <bgColor rgb="FF000000"/>
        </patternFill>
      </fill>
    </dxf>
    <dxf>
      <fill>
        <patternFill patternType="solid">
          <fgColor rgb="FFCBEAD3"/>
          <bgColor rgb="FF000000"/>
        </patternFill>
      </fill>
    </dxf>
    <dxf>
      <fill>
        <patternFill patternType="solid">
          <fgColor rgb="FFDCF1E1"/>
          <bgColor rgb="FF000000"/>
        </patternFill>
      </fill>
    </dxf>
    <dxf>
      <fill>
        <patternFill patternType="solid">
          <fgColor rgb="FFE3F4E7"/>
          <bgColor rgb="FF000000"/>
        </patternFill>
      </fill>
    </dxf>
    <dxf>
      <fill>
        <patternFill patternType="solid">
          <fgColor rgb="FFE6F5EA"/>
          <bgColor rgb="FF000000"/>
        </patternFill>
      </fill>
    </dxf>
    <dxf>
      <fill>
        <patternFill patternType="solid">
          <fgColor rgb="FFEBF7EE"/>
          <bgColor rgb="FF000000"/>
        </patternFill>
      </fill>
    </dxf>
    <dxf>
      <fill>
        <patternFill patternType="solid">
          <fgColor rgb="FFEFF8F1"/>
          <bgColor rgb="FF000000"/>
        </patternFill>
      </fill>
    </dxf>
    <dxf>
      <fill>
        <patternFill patternType="solid">
          <fgColor rgb="FFF0F9F3"/>
          <bgColor rgb="FF000000"/>
        </patternFill>
      </fill>
    </dxf>
    <dxf>
      <fill>
        <patternFill patternType="solid">
          <fgColor rgb="FFF1F9F3"/>
          <bgColor rgb="FF000000"/>
        </patternFill>
      </fill>
    </dxf>
    <dxf>
      <fill>
        <patternFill patternType="solid">
          <fgColor rgb="FFF2FAF4"/>
          <bgColor rgb="FF000000"/>
        </patternFill>
      </fill>
    </dxf>
    <dxf>
      <fill>
        <patternFill patternType="solid">
          <fgColor rgb="FFF3FAF5"/>
          <bgColor rgb="FF000000"/>
        </patternFill>
      </fill>
    </dxf>
    <dxf>
      <fill>
        <patternFill patternType="solid">
          <fgColor rgb="FFF4FBF5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6BC94"/>
          <bgColor rgb="FF000000"/>
        </patternFill>
      </fill>
    </dxf>
    <dxf>
      <fill>
        <patternFill patternType="solid">
          <fgColor rgb="FFFBDECA"/>
          <bgColor rgb="FF000000"/>
        </patternFill>
      </fill>
    </dxf>
    <dxf>
      <fill>
        <patternFill patternType="solid">
          <fgColor rgb="FFFBDFCD"/>
          <bgColor rgb="FF000000"/>
        </patternFill>
      </fill>
    </dxf>
    <dxf>
      <fill>
        <patternFill patternType="solid">
          <fgColor rgb="FFFBE1CF"/>
          <bgColor rgb="FF000000"/>
        </patternFill>
      </fill>
    </dxf>
    <dxf>
      <fill>
        <patternFill patternType="solid">
          <fgColor rgb="FFFBE2D0"/>
          <bgColor rgb="FF000000"/>
        </patternFill>
      </fill>
    </dxf>
    <dxf>
      <fill>
        <patternFill patternType="solid">
          <fgColor rgb="FFFBE2D1"/>
          <bgColor rgb="FF000000"/>
        </patternFill>
      </fill>
    </dxf>
    <dxf>
      <fill>
        <patternFill patternType="solid">
          <fgColor rgb="FFFCE5D6"/>
          <bgColor rgb="FF000000"/>
        </patternFill>
      </fill>
    </dxf>
    <dxf>
      <fill>
        <patternFill patternType="solid">
          <fgColor rgb="FFFCE9DB"/>
          <bgColor rgb="FF000000"/>
        </patternFill>
      </fill>
    </dxf>
    <dxf>
      <fill>
        <patternFill patternType="solid">
          <fgColor rgb="FFFDEEE3"/>
          <bgColor rgb="FF000000"/>
        </patternFill>
      </fill>
    </dxf>
    <dxf>
      <fill>
        <patternFill patternType="solid">
          <fgColor rgb="FFFEF5EE"/>
          <bgColor rgb="FF000000"/>
        </patternFill>
      </fill>
    </dxf>
    <dxf>
      <fill>
        <patternFill patternType="solid">
          <fgColor rgb="FFFEF6F1"/>
          <bgColor rgb="FF000000"/>
        </patternFill>
      </fill>
    </dxf>
    <dxf>
      <fill>
        <patternFill patternType="solid">
          <fgColor rgb="FFFFFCF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3" customFormat="false" ht="19.5" hidden="false" customHeight="tru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/>
      <c r="C4" s="4"/>
    </row>
    <row r="5" customFormat="false" ht="15" hidden="false" customHeight="false" outlineLevel="0" collapsed="false">
      <c r="A5" s="5" t="s">
        <v>5</v>
      </c>
      <c r="B5" s="6" t="n">
        <v>12578</v>
      </c>
      <c r="C5" s="7" t="s">
        <v>6</v>
      </c>
    </row>
    <row r="6" customFormat="false" ht="15" hidden="false" customHeight="false" outlineLevel="0" collapsed="false">
      <c r="A6" s="5" t="s">
        <v>7</v>
      </c>
      <c r="B6" s="8" t="n">
        <f aca="false">'Food - Weekly'!B8</f>
        <v>12577</v>
      </c>
      <c r="C6" s="7" t="s">
        <v>8</v>
      </c>
    </row>
    <row r="7" customFormat="false" ht="15" hidden="false" customHeight="false" outlineLevel="0" collapsed="false">
      <c r="A7" s="5" t="s">
        <v>9</v>
      </c>
      <c r="B7" s="6" t="n">
        <v>330</v>
      </c>
      <c r="C7" s="7"/>
    </row>
    <row r="8" customFormat="false" ht="23.85" hidden="false" customHeight="false" outlineLevel="0" collapsed="false">
      <c r="A8" s="5" t="s">
        <v>10</v>
      </c>
      <c r="B8" s="8" t="n">
        <f aca="false">'Food - All Deliveries'!D109</f>
        <v>16713</v>
      </c>
      <c r="C8" s="7" t="s">
        <v>11</v>
      </c>
    </row>
    <row r="9" customFormat="false" ht="15" hidden="false" customHeight="false" outlineLevel="0" collapsed="false">
      <c r="A9" s="9" t="s">
        <v>12</v>
      </c>
      <c r="B9" s="10"/>
      <c r="C9" s="10"/>
    </row>
    <row r="10" customFormat="false" ht="15" hidden="false" customHeight="false" outlineLevel="0" collapsed="false">
      <c r="A10" s="5" t="s">
        <v>13</v>
      </c>
      <c r="B10" s="6" t="n">
        <v>7475</v>
      </c>
      <c r="C10" s="7"/>
    </row>
    <row r="11" customFormat="false" ht="15" hidden="false" customHeight="false" outlineLevel="0" collapsed="false">
      <c r="A11" s="5" t="s">
        <v>14</v>
      </c>
      <c r="B11" s="6" t="n">
        <v>4075</v>
      </c>
      <c r="C11" s="7"/>
    </row>
    <row r="12" customFormat="false" ht="15" hidden="false" customHeight="false" outlineLevel="0" collapsed="false">
      <c r="A12" s="5" t="s">
        <v>15</v>
      </c>
      <c r="B12" s="6" t="n">
        <v>3720</v>
      </c>
      <c r="C12" s="7"/>
    </row>
    <row r="13" customFormat="false" ht="15" hidden="false" customHeight="false" outlineLevel="0" collapsed="false">
      <c r="A13" s="5" t="s">
        <v>16</v>
      </c>
      <c r="B13" s="8" t="n">
        <f aca="false">B11-B12</f>
        <v>355</v>
      </c>
      <c r="C13" s="7" t="s">
        <v>17</v>
      </c>
    </row>
    <row r="14" customFormat="false" ht="15" hidden="false" customHeight="false" outlineLevel="0" collapsed="false">
      <c r="A14" s="5" t="s">
        <v>18</v>
      </c>
      <c r="B14" s="8" t="n">
        <f aca="false">B10-B12</f>
        <v>3755</v>
      </c>
      <c r="C14" s="7" t="s">
        <v>19</v>
      </c>
    </row>
    <row r="15" customFormat="false" ht="15" hidden="false" customHeight="false" outlineLevel="0" collapsed="false">
      <c r="A15" s="5" t="s">
        <v>20</v>
      </c>
      <c r="B15" s="8" t="n">
        <f aca="false">'Education - Schools'!D31</f>
        <v>3569</v>
      </c>
      <c r="C15" s="7" t="s">
        <v>21</v>
      </c>
    </row>
    <row r="16" customFormat="false" ht="15" hidden="false" customHeight="false" outlineLevel="0" collapsed="false">
      <c r="A16" s="5" t="s">
        <v>22</v>
      </c>
      <c r="B16" s="6" t="n">
        <v>5400</v>
      </c>
      <c r="C16" s="7" t="s">
        <v>23</v>
      </c>
    </row>
    <row r="17" customFormat="false" ht="15" hidden="false" customHeight="false" outlineLevel="0" collapsed="false">
      <c r="A17" s="5" t="s">
        <v>24</v>
      </c>
      <c r="B17" s="8" t="n">
        <f aca="false">B12*B16</f>
        <v>20088000</v>
      </c>
      <c r="C1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</cols>
  <sheetData>
    <row r="1" customFormat="false" ht="19.5" hidden="false" customHeight="true" outlineLevel="0" collapsed="false">
      <c r="A1" s="11" t="s">
        <v>25</v>
      </c>
      <c r="B1" s="11" t="s">
        <v>26</v>
      </c>
    </row>
    <row r="2" customFormat="false" ht="15" hidden="false" customHeight="false" outlineLevel="0" collapsed="false">
      <c r="A2" s="5" t="s">
        <v>27</v>
      </c>
      <c r="B2" s="6" t="n">
        <v>1136</v>
      </c>
    </row>
    <row r="3" customFormat="false" ht="15" hidden="false" customHeight="false" outlineLevel="0" collapsed="false">
      <c r="A3" s="5" t="s">
        <v>28</v>
      </c>
      <c r="B3" s="6" t="n">
        <v>2986</v>
      </c>
    </row>
    <row r="4" customFormat="false" ht="15" hidden="false" customHeight="false" outlineLevel="0" collapsed="false">
      <c r="A4" s="5" t="s">
        <v>29</v>
      </c>
      <c r="B4" s="6" t="n">
        <v>3811</v>
      </c>
    </row>
    <row r="5" customFormat="false" ht="15" hidden="false" customHeight="false" outlineLevel="0" collapsed="false">
      <c r="A5" s="5" t="s">
        <v>30</v>
      </c>
      <c r="B5" s="6" t="n">
        <v>2468</v>
      </c>
    </row>
    <row r="6" customFormat="false" ht="15" hidden="false" customHeight="false" outlineLevel="0" collapsed="false">
      <c r="A6" s="5" t="s">
        <v>31</v>
      </c>
      <c r="B6" s="6" t="n">
        <v>1210</v>
      </c>
    </row>
    <row r="7" customFormat="false" ht="15" hidden="false" customHeight="false" outlineLevel="0" collapsed="false">
      <c r="A7" s="5" t="s">
        <v>32</v>
      </c>
      <c r="B7" s="6" t="n">
        <v>966</v>
      </c>
    </row>
    <row r="8" customFormat="false" ht="15" hidden="false" customHeight="false" outlineLevel="0" collapsed="false">
      <c r="A8" s="12" t="s">
        <v>33</v>
      </c>
      <c r="B8" s="13" t="n">
        <f aca="false">SUM(B2:B7)</f>
        <v>12577</v>
      </c>
    </row>
    <row r="10" customFormat="false" ht="15" hidden="false" customHeight="false" outlineLevel="0" collapsed="false">
      <c r="A10" s="1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48"/>
  </cols>
  <sheetData>
    <row r="1" customFormat="false" ht="31.5" hidden="false" customHeight="true" outlineLevel="0" collapsed="false">
      <c r="A1" s="11" t="s">
        <v>35</v>
      </c>
      <c r="B1" s="11" t="s">
        <v>36</v>
      </c>
      <c r="C1" s="11" t="s">
        <v>37</v>
      </c>
      <c r="D1" s="11" t="s">
        <v>26</v>
      </c>
      <c r="E1" s="11" t="s">
        <v>38</v>
      </c>
      <c r="F1" s="11" t="s">
        <v>3</v>
      </c>
    </row>
    <row r="2" customFormat="false" ht="15" hidden="false" customHeight="false" outlineLevel="0" collapsed="false">
      <c r="A2" s="5" t="s">
        <v>39</v>
      </c>
      <c r="B2" s="5" t="s">
        <v>40</v>
      </c>
      <c r="C2" s="5" t="s">
        <v>41</v>
      </c>
      <c r="D2" s="15" t="n">
        <v>600</v>
      </c>
      <c r="E2" s="5" t="s">
        <v>42</v>
      </c>
      <c r="F2" s="5"/>
    </row>
    <row r="3" customFormat="false" ht="15" hidden="false" customHeight="false" outlineLevel="0" collapsed="false">
      <c r="A3" s="5" t="s">
        <v>43</v>
      </c>
      <c r="B3" s="5" t="s">
        <v>40</v>
      </c>
      <c r="C3" s="5" t="s">
        <v>41</v>
      </c>
      <c r="D3" s="15" t="n">
        <v>399</v>
      </c>
      <c r="E3" s="5" t="s">
        <v>44</v>
      </c>
      <c r="F3" s="5"/>
    </row>
    <row r="4" customFormat="false" ht="15" hidden="false" customHeight="false" outlineLevel="0" collapsed="false">
      <c r="A4" s="5" t="s">
        <v>45</v>
      </c>
      <c r="B4" s="5" t="s">
        <v>40</v>
      </c>
      <c r="C4" s="5" t="s">
        <v>41</v>
      </c>
      <c r="D4" s="15" t="n">
        <v>420</v>
      </c>
      <c r="E4" s="5" t="s">
        <v>46</v>
      </c>
      <c r="F4" s="5"/>
    </row>
    <row r="5" customFormat="false" ht="15" hidden="false" customHeight="false" outlineLevel="0" collapsed="false">
      <c r="A5" s="5" t="s">
        <v>47</v>
      </c>
      <c r="B5" s="5" t="s">
        <v>40</v>
      </c>
      <c r="C5" s="5" t="s">
        <v>41</v>
      </c>
      <c r="D5" s="15" t="n">
        <v>352</v>
      </c>
      <c r="E5" s="5" t="s">
        <v>48</v>
      </c>
      <c r="F5" s="5"/>
    </row>
    <row r="6" customFormat="false" ht="15" hidden="false" customHeight="false" outlineLevel="0" collapsed="false">
      <c r="A6" s="5" t="s">
        <v>49</v>
      </c>
      <c r="B6" s="5" t="s">
        <v>50</v>
      </c>
      <c r="C6" s="5" t="s">
        <v>49</v>
      </c>
      <c r="D6" s="15" t="n">
        <v>310</v>
      </c>
      <c r="E6" s="5" t="s">
        <v>51</v>
      </c>
      <c r="F6" s="5"/>
    </row>
    <row r="7" customFormat="false" ht="15" hidden="false" customHeight="false" outlineLevel="0" collapsed="false">
      <c r="A7" s="16" t="s">
        <v>52</v>
      </c>
      <c r="B7" s="16" t="s">
        <v>53</v>
      </c>
      <c r="C7" s="16" t="s">
        <v>54</v>
      </c>
      <c r="D7" s="17" t="n">
        <v>356</v>
      </c>
      <c r="E7" s="16" t="s">
        <v>55</v>
      </c>
      <c r="F7" s="16" t="s">
        <v>56</v>
      </c>
    </row>
    <row r="8" customFormat="false" ht="15" hidden="false" customHeight="false" outlineLevel="0" collapsed="false">
      <c r="A8" s="16" t="s">
        <v>52</v>
      </c>
      <c r="B8" s="16" t="s">
        <v>53</v>
      </c>
      <c r="C8" s="16" t="s">
        <v>54</v>
      </c>
      <c r="D8" s="17" t="n">
        <v>250</v>
      </c>
      <c r="E8" s="16" t="s">
        <v>55</v>
      </c>
      <c r="F8" s="16" t="s">
        <v>56</v>
      </c>
    </row>
    <row r="9" customFormat="false" ht="15" hidden="false" customHeight="false" outlineLevel="0" collapsed="false">
      <c r="A9" s="5" t="s">
        <v>57</v>
      </c>
      <c r="B9" s="5" t="s">
        <v>40</v>
      </c>
      <c r="C9" s="5" t="s">
        <v>41</v>
      </c>
      <c r="D9" s="15" t="n">
        <v>436</v>
      </c>
      <c r="E9" s="5" t="s">
        <v>46</v>
      </c>
      <c r="F9" s="5"/>
    </row>
    <row r="10" customFormat="false" ht="15" hidden="false" customHeight="false" outlineLevel="0" collapsed="false">
      <c r="A10" s="5" t="s">
        <v>58</v>
      </c>
      <c r="B10" s="5" t="s">
        <v>40</v>
      </c>
      <c r="C10" s="5" t="s">
        <v>41</v>
      </c>
      <c r="D10" s="15" t="n">
        <v>240</v>
      </c>
      <c r="E10" s="5" t="s">
        <v>46</v>
      </c>
      <c r="F10" s="5"/>
    </row>
    <row r="11" customFormat="false" ht="15" hidden="false" customHeight="false" outlineLevel="0" collapsed="false">
      <c r="A11" s="5" t="s">
        <v>59</v>
      </c>
      <c r="B11" s="5" t="s">
        <v>50</v>
      </c>
      <c r="C11" s="5" t="s">
        <v>49</v>
      </c>
      <c r="D11" s="15" t="n">
        <v>300</v>
      </c>
      <c r="E11" s="5" t="s">
        <v>46</v>
      </c>
      <c r="F11" s="5"/>
    </row>
    <row r="12" customFormat="false" ht="15" hidden="false" customHeight="false" outlineLevel="0" collapsed="false">
      <c r="A12" s="5" t="s">
        <v>60</v>
      </c>
      <c r="B12" s="5" t="s">
        <v>61</v>
      </c>
      <c r="C12" s="5" t="s">
        <v>62</v>
      </c>
      <c r="D12" s="15" t="n">
        <v>250</v>
      </c>
      <c r="E12" s="5" t="s">
        <v>63</v>
      </c>
      <c r="F12" s="5"/>
    </row>
    <row r="13" customFormat="false" ht="15" hidden="false" customHeight="false" outlineLevel="0" collapsed="false">
      <c r="A13" s="5" t="s">
        <v>64</v>
      </c>
      <c r="B13" s="5" t="s">
        <v>50</v>
      </c>
      <c r="C13" s="5" t="s">
        <v>64</v>
      </c>
      <c r="D13" s="15" t="n">
        <v>250</v>
      </c>
      <c r="E13" s="5" t="s">
        <v>65</v>
      </c>
      <c r="F13" s="5"/>
    </row>
    <row r="14" customFormat="false" ht="15" hidden="false" customHeight="false" outlineLevel="0" collapsed="false">
      <c r="A14" s="5" t="s">
        <v>64</v>
      </c>
      <c r="B14" s="5" t="s">
        <v>50</v>
      </c>
      <c r="C14" s="5" t="s">
        <v>64</v>
      </c>
      <c r="D14" s="15" t="n">
        <v>200</v>
      </c>
      <c r="E14" s="5" t="s">
        <v>46</v>
      </c>
      <c r="F14" s="5"/>
    </row>
    <row r="15" customFormat="false" ht="15" hidden="false" customHeight="false" outlineLevel="0" collapsed="false">
      <c r="A15" s="5" t="s">
        <v>66</v>
      </c>
      <c r="B15" s="5" t="s">
        <v>50</v>
      </c>
      <c r="C15" s="5" t="s">
        <v>67</v>
      </c>
      <c r="D15" s="15" t="n">
        <v>200</v>
      </c>
      <c r="E15" s="5" t="s">
        <v>68</v>
      </c>
      <c r="F15" s="5"/>
    </row>
    <row r="16" customFormat="false" ht="15" hidden="false" customHeight="false" outlineLevel="0" collapsed="false">
      <c r="A16" s="5" t="s">
        <v>66</v>
      </c>
      <c r="B16" s="5" t="s">
        <v>50</v>
      </c>
      <c r="C16" s="5" t="s">
        <v>67</v>
      </c>
      <c r="D16" s="15" t="n">
        <v>235</v>
      </c>
      <c r="E16" s="5" t="s">
        <v>68</v>
      </c>
      <c r="F16" s="5"/>
    </row>
    <row r="17" customFormat="false" ht="15" hidden="false" customHeight="false" outlineLevel="0" collapsed="false">
      <c r="A17" s="5" t="s">
        <v>66</v>
      </c>
      <c r="B17" s="5" t="s">
        <v>50</v>
      </c>
      <c r="C17" s="5" t="s">
        <v>67</v>
      </c>
      <c r="D17" s="15" t="n">
        <v>200</v>
      </c>
      <c r="E17" s="5" t="s">
        <v>68</v>
      </c>
      <c r="F17" s="5"/>
    </row>
    <row r="18" customFormat="false" ht="15" hidden="false" customHeight="false" outlineLevel="0" collapsed="false">
      <c r="A18" s="5" t="s">
        <v>66</v>
      </c>
      <c r="B18" s="5" t="s">
        <v>50</v>
      </c>
      <c r="C18" s="5" t="s">
        <v>67</v>
      </c>
      <c r="D18" s="15" t="n">
        <v>200</v>
      </c>
      <c r="E18" s="5" t="s">
        <v>68</v>
      </c>
      <c r="F18" s="5"/>
    </row>
    <row r="19" customFormat="false" ht="15" hidden="false" customHeight="false" outlineLevel="0" collapsed="false">
      <c r="A19" s="5" t="s">
        <v>69</v>
      </c>
      <c r="B19" s="5" t="s">
        <v>50</v>
      </c>
      <c r="C19" s="5" t="s">
        <v>70</v>
      </c>
      <c r="D19" s="15" t="n">
        <v>150</v>
      </c>
      <c r="E19" s="5" t="s">
        <v>71</v>
      </c>
      <c r="F19" s="5"/>
    </row>
    <row r="20" customFormat="false" ht="15" hidden="false" customHeight="false" outlineLevel="0" collapsed="false">
      <c r="A20" s="5" t="s">
        <v>69</v>
      </c>
      <c r="B20" s="5" t="s">
        <v>50</v>
      </c>
      <c r="C20" s="5" t="s">
        <v>70</v>
      </c>
      <c r="D20" s="15" t="n">
        <v>235</v>
      </c>
      <c r="E20" s="5" t="s">
        <v>72</v>
      </c>
      <c r="F20" s="5"/>
    </row>
    <row r="21" customFormat="false" ht="15" hidden="false" customHeight="false" outlineLevel="0" collapsed="false">
      <c r="A21" s="16" t="s">
        <v>73</v>
      </c>
      <c r="B21" s="16" t="s">
        <v>74</v>
      </c>
      <c r="C21" s="16" t="s">
        <v>75</v>
      </c>
      <c r="D21" s="17" t="n">
        <v>200</v>
      </c>
      <c r="E21" s="16" t="s">
        <v>72</v>
      </c>
      <c r="F21" s="16" t="s">
        <v>76</v>
      </c>
    </row>
    <row r="22" customFormat="false" ht="15" hidden="false" customHeight="false" outlineLevel="0" collapsed="false">
      <c r="A22" s="16" t="s">
        <v>73</v>
      </c>
      <c r="B22" s="16" t="s">
        <v>74</v>
      </c>
      <c r="C22" s="16" t="s">
        <v>75</v>
      </c>
      <c r="D22" s="17" t="n">
        <v>200</v>
      </c>
      <c r="E22" s="16" t="s">
        <v>77</v>
      </c>
      <c r="F22" s="16" t="s">
        <v>76</v>
      </c>
    </row>
    <row r="23" customFormat="false" ht="15" hidden="false" customHeight="false" outlineLevel="0" collapsed="false">
      <c r="A23" s="5" t="s">
        <v>78</v>
      </c>
      <c r="B23" s="5" t="s">
        <v>53</v>
      </c>
      <c r="C23" s="5" t="s">
        <v>54</v>
      </c>
      <c r="D23" s="15" t="n">
        <v>150</v>
      </c>
      <c r="E23" s="5" t="s">
        <v>79</v>
      </c>
      <c r="F23" s="5"/>
    </row>
    <row r="24" customFormat="false" ht="15" hidden="false" customHeight="false" outlineLevel="0" collapsed="false">
      <c r="A24" s="5" t="s">
        <v>78</v>
      </c>
      <c r="B24" s="5" t="s">
        <v>53</v>
      </c>
      <c r="C24" s="5" t="s">
        <v>54</v>
      </c>
      <c r="D24" s="15" t="n">
        <v>169</v>
      </c>
      <c r="E24" s="5" t="s">
        <v>80</v>
      </c>
      <c r="F24" s="5"/>
    </row>
    <row r="25" customFormat="false" ht="15" hidden="false" customHeight="false" outlineLevel="0" collapsed="false">
      <c r="A25" s="5" t="s">
        <v>81</v>
      </c>
      <c r="B25" s="5" t="s">
        <v>53</v>
      </c>
      <c r="C25" s="5" t="s">
        <v>82</v>
      </c>
      <c r="D25" s="15" t="n">
        <v>150</v>
      </c>
      <c r="E25" s="5" t="s">
        <v>55</v>
      </c>
      <c r="F25" s="5"/>
    </row>
    <row r="26" customFormat="false" ht="15" hidden="false" customHeight="false" outlineLevel="0" collapsed="false">
      <c r="A26" s="5" t="s">
        <v>81</v>
      </c>
      <c r="B26" s="5" t="s">
        <v>53</v>
      </c>
      <c r="C26" s="5" t="s">
        <v>82</v>
      </c>
      <c r="D26" s="15" t="n">
        <v>50</v>
      </c>
      <c r="E26" s="5" t="s">
        <v>55</v>
      </c>
      <c r="F26" s="5"/>
    </row>
    <row r="27" customFormat="false" ht="15" hidden="false" customHeight="false" outlineLevel="0" collapsed="false">
      <c r="A27" s="5" t="s">
        <v>81</v>
      </c>
      <c r="B27" s="5" t="s">
        <v>53</v>
      </c>
      <c r="C27" s="5" t="s">
        <v>82</v>
      </c>
      <c r="D27" s="15" t="n">
        <v>150</v>
      </c>
      <c r="E27" s="5" t="s">
        <v>55</v>
      </c>
      <c r="F27" s="5"/>
    </row>
    <row r="28" customFormat="false" ht="15" hidden="false" customHeight="false" outlineLevel="0" collapsed="false">
      <c r="A28" s="5" t="s">
        <v>83</v>
      </c>
      <c r="B28" s="5" t="s">
        <v>40</v>
      </c>
      <c r="C28" s="5" t="s">
        <v>41</v>
      </c>
      <c r="D28" s="15" t="n">
        <v>103</v>
      </c>
      <c r="E28" s="5" t="s">
        <v>71</v>
      </c>
      <c r="F28" s="5"/>
    </row>
    <row r="29" customFormat="false" ht="15" hidden="false" customHeight="false" outlineLevel="0" collapsed="false">
      <c r="A29" s="5" t="s">
        <v>83</v>
      </c>
      <c r="B29" s="5" t="s">
        <v>40</v>
      </c>
      <c r="C29" s="5" t="s">
        <v>41</v>
      </c>
      <c r="D29" s="15" t="n">
        <v>100</v>
      </c>
      <c r="E29" s="5" t="s">
        <v>72</v>
      </c>
      <c r="F29" s="5"/>
    </row>
    <row r="30" customFormat="false" ht="15" hidden="false" customHeight="false" outlineLevel="0" collapsed="false">
      <c r="A30" s="5" t="s">
        <v>83</v>
      </c>
      <c r="B30" s="5" t="s">
        <v>40</v>
      </c>
      <c r="C30" s="5" t="s">
        <v>41</v>
      </c>
      <c r="D30" s="15" t="n">
        <v>100</v>
      </c>
      <c r="E30" s="5" t="s">
        <v>77</v>
      </c>
      <c r="F30" s="5"/>
    </row>
    <row r="31" customFormat="false" ht="15" hidden="false" customHeight="false" outlineLevel="0" collapsed="false">
      <c r="A31" s="5" t="s">
        <v>84</v>
      </c>
      <c r="B31" s="5" t="s">
        <v>53</v>
      </c>
      <c r="C31" s="5" t="s">
        <v>85</v>
      </c>
      <c r="D31" s="15" t="n">
        <v>150</v>
      </c>
      <c r="E31" s="5" t="s">
        <v>48</v>
      </c>
      <c r="F31" s="5"/>
    </row>
    <row r="32" customFormat="false" ht="15" hidden="false" customHeight="false" outlineLevel="0" collapsed="false">
      <c r="A32" s="5" t="s">
        <v>84</v>
      </c>
      <c r="B32" s="5" t="s">
        <v>53</v>
      </c>
      <c r="C32" s="5" t="s">
        <v>85</v>
      </c>
      <c r="D32" s="15" t="n">
        <v>100</v>
      </c>
      <c r="E32" s="5" t="s">
        <v>72</v>
      </c>
      <c r="F32" s="5"/>
    </row>
    <row r="33" customFormat="false" ht="15" hidden="false" customHeight="false" outlineLevel="0" collapsed="false">
      <c r="A33" s="5" t="s">
        <v>86</v>
      </c>
      <c r="B33" s="5" t="s">
        <v>87</v>
      </c>
      <c r="C33" s="5" t="s">
        <v>88</v>
      </c>
      <c r="D33" s="15" t="n">
        <v>85</v>
      </c>
      <c r="E33" s="5" t="s">
        <v>42</v>
      </c>
      <c r="F33" s="5" t="s">
        <v>89</v>
      </c>
    </row>
    <row r="34" customFormat="false" ht="15" hidden="false" customHeight="false" outlineLevel="0" collapsed="false">
      <c r="A34" s="5" t="s">
        <v>86</v>
      </c>
      <c r="B34" s="5" t="s">
        <v>87</v>
      </c>
      <c r="C34" s="5" t="s">
        <v>88</v>
      </c>
      <c r="D34" s="15" t="n">
        <v>234</v>
      </c>
      <c r="E34" s="5" t="s">
        <v>90</v>
      </c>
      <c r="F34" s="5" t="s">
        <v>89</v>
      </c>
    </row>
    <row r="35" customFormat="false" ht="15" hidden="false" customHeight="false" outlineLevel="0" collapsed="false">
      <c r="A35" s="5" t="s">
        <v>91</v>
      </c>
      <c r="B35" s="5" t="s">
        <v>92</v>
      </c>
      <c r="C35" s="5" t="s">
        <v>93</v>
      </c>
      <c r="D35" s="15" t="n">
        <v>125</v>
      </c>
      <c r="E35" s="5" t="s">
        <v>42</v>
      </c>
      <c r="F35" s="5"/>
    </row>
    <row r="36" customFormat="false" ht="15" hidden="false" customHeight="false" outlineLevel="0" collapsed="false">
      <c r="A36" s="5" t="s">
        <v>94</v>
      </c>
      <c r="B36" s="5" t="s">
        <v>92</v>
      </c>
      <c r="C36" s="5" t="s">
        <v>95</v>
      </c>
      <c r="D36" s="15" t="n">
        <v>125</v>
      </c>
      <c r="E36" s="5" t="s">
        <v>96</v>
      </c>
      <c r="F36" s="5" t="s">
        <v>97</v>
      </c>
    </row>
    <row r="37" customFormat="false" ht="15" hidden="false" customHeight="false" outlineLevel="0" collapsed="false">
      <c r="A37" s="5" t="s">
        <v>94</v>
      </c>
      <c r="B37" s="5" t="s">
        <v>92</v>
      </c>
      <c r="C37" s="5" t="s">
        <v>95</v>
      </c>
      <c r="D37" s="15" t="n">
        <v>125</v>
      </c>
      <c r="E37" s="5" t="s">
        <v>98</v>
      </c>
      <c r="F37" s="5" t="s">
        <v>97</v>
      </c>
    </row>
    <row r="38" customFormat="false" ht="15" hidden="false" customHeight="false" outlineLevel="0" collapsed="false">
      <c r="A38" s="5" t="s">
        <v>94</v>
      </c>
      <c r="B38" s="5" t="s">
        <v>92</v>
      </c>
      <c r="C38" s="5" t="s">
        <v>95</v>
      </c>
      <c r="D38" s="15" t="n">
        <v>130</v>
      </c>
      <c r="E38" s="5" t="s">
        <v>90</v>
      </c>
      <c r="F38" s="5" t="s">
        <v>97</v>
      </c>
    </row>
    <row r="39" customFormat="false" ht="15" hidden="false" customHeight="false" outlineLevel="0" collapsed="false">
      <c r="A39" s="16" t="s">
        <v>99</v>
      </c>
      <c r="B39" s="16" t="s">
        <v>92</v>
      </c>
      <c r="C39" s="16" t="s">
        <v>93</v>
      </c>
      <c r="D39" s="17" t="n">
        <v>125</v>
      </c>
      <c r="E39" s="16" t="s">
        <v>42</v>
      </c>
      <c r="F39" s="16" t="s">
        <v>100</v>
      </c>
    </row>
    <row r="40" customFormat="false" ht="15" hidden="false" customHeight="false" outlineLevel="0" collapsed="false">
      <c r="A40" s="16" t="s">
        <v>99</v>
      </c>
      <c r="B40" s="16" t="s">
        <v>92</v>
      </c>
      <c r="C40" s="16" t="s">
        <v>93</v>
      </c>
      <c r="D40" s="17" t="n">
        <v>125</v>
      </c>
      <c r="E40" s="16" t="s">
        <v>98</v>
      </c>
      <c r="F40" s="16" t="s">
        <v>100</v>
      </c>
    </row>
    <row r="41" customFormat="false" ht="15" hidden="false" customHeight="false" outlineLevel="0" collapsed="false">
      <c r="A41" s="5" t="s">
        <v>101</v>
      </c>
      <c r="B41" s="5" t="s">
        <v>53</v>
      </c>
      <c r="C41" s="5" t="s">
        <v>85</v>
      </c>
      <c r="D41" s="15" t="n">
        <v>150</v>
      </c>
      <c r="E41" s="5" t="s">
        <v>71</v>
      </c>
      <c r="F41" s="5"/>
    </row>
    <row r="42" customFormat="false" ht="15" hidden="false" customHeight="false" outlineLevel="0" collapsed="false">
      <c r="A42" s="5" t="s">
        <v>101</v>
      </c>
      <c r="B42" s="5" t="s">
        <v>53</v>
      </c>
      <c r="C42" s="5" t="s">
        <v>85</v>
      </c>
      <c r="D42" s="15" t="n">
        <v>122</v>
      </c>
      <c r="E42" s="5" t="s">
        <v>98</v>
      </c>
      <c r="F42" s="5"/>
    </row>
    <row r="43" customFormat="false" ht="15" hidden="false" customHeight="false" outlineLevel="0" collapsed="false">
      <c r="A43" s="5" t="s">
        <v>102</v>
      </c>
      <c r="B43" s="5" t="s">
        <v>74</v>
      </c>
      <c r="C43" s="5" t="s">
        <v>75</v>
      </c>
      <c r="D43" s="15" t="n">
        <v>128</v>
      </c>
      <c r="E43" s="5" t="s">
        <v>42</v>
      </c>
      <c r="F43" s="5"/>
    </row>
    <row r="44" customFormat="false" ht="15" hidden="false" customHeight="false" outlineLevel="0" collapsed="false">
      <c r="A44" s="16" t="s">
        <v>103</v>
      </c>
      <c r="B44" s="16" t="s">
        <v>104</v>
      </c>
      <c r="C44" s="16" t="s">
        <v>105</v>
      </c>
      <c r="D44" s="17" t="n">
        <v>100</v>
      </c>
      <c r="E44" s="16" t="s">
        <v>106</v>
      </c>
      <c r="F44" s="16" t="s">
        <v>107</v>
      </c>
    </row>
    <row r="45" customFormat="false" ht="15" hidden="false" customHeight="false" outlineLevel="0" collapsed="false">
      <c r="A45" s="16" t="s">
        <v>103</v>
      </c>
      <c r="B45" s="16" t="s">
        <v>104</v>
      </c>
      <c r="C45" s="16" t="s">
        <v>105</v>
      </c>
      <c r="D45" s="17" t="n">
        <v>120</v>
      </c>
      <c r="E45" s="16" t="s">
        <v>48</v>
      </c>
      <c r="F45" s="16" t="s">
        <v>107</v>
      </c>
    </row>
    <row r="46" customFormat="false" ht="15" hidden="false" customHeight="false" outlineLevel="0" collapsed="false">
      <c r="A46" s="16" t="s">
        <v>103</v>
      </c>
      <c r="B46" s="16" t="s">
        <v>104</v>
      </c>
      <c r="C46" s="16" t="s">
        <v>105</v>
      </c>
      <c r="D46" s="17" t="n">
        <v>100</v>
      </c>
      <c r="E46" s="16" t="s">
        <v>80</v>
      </c>
      <c r="F46" s="16" t="s">
        <v>107</v>
      </c>
    </row>
    <row r="47" customFormat="false" ht="15" hidden="false" customHeight="false" outlineLevel="0" collapsed="false">
      <c r="A47" s="5" t="s">
        <v>108</v>
      </c>
      <c r="B47" s="5" t="s">
        <v>109</v>
      </c>
      <c r="C47" s="5" t="s">
        <v>108</v>
      </c>
      <c r="D47" s="15" t="n">
        <v>150</v>
      </c>
      <c r="E47" s="5" t="s">
        <v>71</v>
      </c>
      <c r="F47" s="5"/>
    </row>
    <row r="48" customFormat="false" ht="15" hidden="false" customHeight="false" outlineLevel="0" collapsed="false">
      <c r="A48" s="5" t="s">
        <v>110</v>
      </c>
      <c r="B48" s="5" t="s">
        <v>50</v>
      </c>
      <c r="C48" s="5" t="s">
        <v>111</v>
      </c>
      <c r="D48" s="15" t="n">
        <v>150</v>
      </c>
      <c r="E48" s="5" t="s">
        <v>71</v>
      </c>
      <c r="F48" s="5"/>
    </row>
    <row r="49" customFormat="false" ht="15" hidden="false" customHeight="false" outlineLevel="0" collapsed="false">
      <c r="A49" s="5" t="s">
        <v>112</v>
      </c>
      <c r="B49" s="5" t="s">
        <v>74</v>
      </c>
      <c r="C49" s="5" t="s">
        <v>113</v>
      </c>
      <c r="D49" s="15" t="n">
        <v>100</v>
      </c>
      <c r="E49" s="5" t="s">
        <v>55</v>
      </c>
      <c r="F49" s="5"/>
    </row>
    <row r="50" customFormat="false" ht="15" hidden="false" customHeight="false" outlineLevel="0" collapsed="false">
      <c r="A50" s="5" t="s">
        <v>112</v>
      </c>
      <c r="B50" s="5" t="s">
        <v>74</v>
      </c>
      <c r="C50" s="5" t="s">
        <v>113</v>
      </c>
      <c r="D50" s="15" t="n">
        <v>76</v>
      </c>
      <c r="E50" s="5" t="s">
        <v>55</v>
      </c>
      <c r="F50" s="5"/>
    </row>
    <row r="51" customFormat="false" ht="15" hidden="false" customHeight="false" outlineLevel="0" collapsed="false">
      <c r="A51" s="5" t="s">
        <v>112</v>
      </c>
      <c r="B51" s="5" t="s">
        <v>74</v>
      </c>
      <c r="C51" s="5" t="s">
        <v>113</v>
      </c>
      <c r="D51" s="15" t="n">
        <v>100</v>
      </c>
      <c r="E51" s="5" t="s">
        <v>55</v>
      </c>
      <c r="F51" s="5"/>
    </row>
    <row r="52" customFormat="false" ht="15" hidden="false" customHeight="false" outlineLevel="0" collapsed="false">
      <c r="A52" s="18" t="s">
        <v>112</v>
      </c>
      <c r="B52" s="18" t="s">
        <v>74</v>
      </c>
      <c r="C52" s="18" t="s">
        <v>113</v>
      </c>
      <c r="D52" s="19" t="n">
        <v>21</v>
      </c>
      <c r="E52" s="18" t="s">
        <v>55</v>
      </c>
      <c r="F52" s="18"/>
    </row>
    <row r="53" customFormat="false" ht="15" hidden="false" customHeight="false" outlineLevel="0" collapsed="false">
      <c r="A53" s="5" t="s">
        <v>114</v>
      </c>
      <c r="B53" s="5" t="s">
        <v>74</v>
      </c>
      <c r="C53" s="5" t="s">
        <v>114</v>
      </c>
      <c r="D53" s="15" t="n">
        <v>100</v>
      </c>
      <c r="E53" s="5" t="s">
        <v>98</v>
      </c>
      <c r="F53" s="5"/>
    </row>
    <row r="54" customFormat="false" ht="15" hidden="false" customHeight="false" outlineLevel="0" collapsed="false">
      <c r="A54" s="5" t="s">
        <v>114</v>
      </c>
      <c r="B54" s="5" t="s">
        <v>74</v>
      </c>
      <c r="C54" s="5" t="s">
        <v>114</v>
      </c>
      <c r="D54" s="15" t="n">
        <v>300</v>
      </c>
      <c r="E54" s="5" t="s">
        <v>90</v>
      </c>
      <c r="F54" s="5"/>
    </row>
    <row r="55" customFormat="false" ht="15" hidden="false" customHeight="false" outlineLevel="0" collapsed="false">
      <c r="A55" s="5" t="s">
        <v>111</v>
      </c>
      <c r="B55" s="5" t="s">
        <v>50</v>
      </c>
      <c r="C55" s="5" t="s">
        <v>111</v>
      </c>
      <c r="D55" s="15" t="n">
        <v>100</v>
      </c>
      <c r="E55" s="5" t="s">
        <v>115</v>
      </c>
      <c r="F55" s="5"/>
    </row>
    <row r="56" customFormat="false" ht="15" hidden="false" customHeight="false" outlineLevel="0" collapsed="false">
      <c r="A56" s="5" t="s">
        <v>111</v>
      </c>
      <c r="B56" s="5" t="s">
        <v>50</v>
      </c>
      <c r="C56" s="5" t="s">
        <v>111</v>
      </c>
      <c r="D56" s="15" t="n">
        <v>250</v>
      </c>
      <c r="E56" s="5" t="s">
        <v>116</v>
      </c>
      <c r="F56" s="5"/>
    </row>
    <row r="57" customFormat="false" ht="15" hidden="false" customHeight="false" outlineLevel="0" collapsed="false">
      <c r="A57" s="16" t="s">
        <v>117</v>
      </c>
      <c r="B57" s="16" t="s">
        <v>40</v>
      </c>
      <c r="C57" s="16" t="s">
        <v>41</v>
      </c>
      <c r="D57" s="17" t="n">
        <v>100</v>
      </c>
      <c r="E57" s="16" t="s">
        <v>98</v>
      </c>
      <c r="F57" s="16" t="s">
        <v>76</v>
      </c>
    </row>
    <row r="58" customFormat="false" ht="15" hidden="false" customHeight="false" outlineLevel="0" collapsed="false">
      <c r="A58" s="16" t="s">
        <v>117</v>
      </c>
      <c r="B58" s="16" t="s">
        <v>40</v>
      </c>
      <c r="C58" s="16" t="s">
        <v>41</v>
      </c>
      <c r="D58" s="17" t="n">
        <v>121</v>
      </c>
      <c r="E58" s="16" t="s">
        <v>72</v>
      </c>
      <c r="F58" s="16" t="s">
        <v>76</v>
      </c>
    </row>
    <row r="59" customFormat="false" ht="15" hidden="false" customHeight="false" outlineLevel="0" collapsed="false">
      <c r="A59" s="16" t="s">
        <v>117</v>
      </c>
      <c r="B59" s="16" t="s">
        <v>40</v>
      </c>
      <c r="C59" s="16" t="s">
        <v>41</v>
      </c>
      <c r="D59" s="17" t="n">
        <v>121</v>
      </c>
      <c r="E59" s="16" t="s">
        <v>96</v>
      </c>
      <c r="F59" s="16" t="s">
        <v>76</v>
      </c>
    </row>
    <row r="60" customFormat="false" ht="15" hidden="false" customHeight="false" outlineLevel="0" collapsed="false">
      <c r="A60" s="5" t="s">
        <v>118</v>
      </c>
      <c r="B60" s="5" t="s">
        <v>53</v>
      </c>
      <c r="C60" s="5" t="s">
        <v>85</v>
      </c>
      <c r="D60" s="15" t="n">
        <v>100</v>
      </c>
      <c r="E60" s="5" t="s">
        <v>71</v>
      </c>
      <c r="F60" s="5"/>
    </row>
    <row r="61" customFormat="false" ht="15" hidden="false" customHeight="false" outlineLevel="0" collapsed="false">
      <c r="A61" s="5" t="s">
        <v>118</v>
      </c>
      <c r="B61" s="5" t="s">
        <v>53</v>
      </c>
      <c r="C61" s="5" t="s">
        <v>85</v>
      </c>
      <c r="D61" s="15" t="n">
        <v>150</v>
      </c>
      <c r="E61" s="5" t="s">
        <v>46</v>
      </c>
      <c r="F61" s="5"/>
    </row>
    <row r="62" customFormat="false" ht="15" hidden="false" customHeight="false" outlineLevel="0" collapsed="false">
      <c r="A62" s="16" t="s">
        <v>119</v>
      </c>
      <c r="B62" s="16" t="s">
        <v>92</v>
      </c>
      <c r="C62" s="16" t="s">
        <v>93</v>
      </c>
      <c r="D62" s="17" t="n">
        <v>100</v>
      </c>
      <c r="E62" s="16" t="s">
        <v>98</v>
      </c>
      <c r="F62" s="16" t="s">
        <v>100</v>
      </c>
    </row>
    <row r="63" customFormat="false" ht="15" hidden="false" customHeight="false" outlineLevel="0" collapsed="false">
      <c r="A63" s="16" t="s">
        <v>119</v>
      </c>
      <c r="B63" s="16" t="s">
        <v>92</v>
      </c>
      <c r="C63" s="16" t="s">
        <v>93</v>
      </c>
      <c r="D63" s="17" t="n">
        <v>100</v>
      </c>
      <c r="E63" s="16" t="s">
        <v>42</v>
      </c>
      <c r="F63" s="16" t="s">
        <v>100</v>
      </c>
    </row>
    <row r="64" customFormat="false" ht="15" hidden="false" customHeight="false" outlineLevel="0" collapsed="false">
      <c r="A64" s="16" t="s">
        <v>120</v>
      </c>
      <c r="B64" s="16" t="s">
        <v>121</v>
      </c>
      <c r="C64" s="16" t="s">
        <v>122</v>
      </c>
      <c r="D64" s="17" t="n">
        <v>100</v>
      </c>
      <c r="E64" s="16" t="s">
        <v>98</v>
      </c>
      <c r="F64" s="16" t="s">
        <v>100</v>
      </c>
    </row>
    <row r="65" customFormat="false" ht="15" hidden="false" customHeight="false" outlineLevel="0" collapsed="false">
      <c r="A65" s="16" t="s">
        <v>120</v>
      </c>
      <c r="B65" s="16" t="s">
        <v>121</v>
      </c>
      <c r="C65" s="16" t="s">
        <v>122</v>
      </c>
      <c r="D65" s="17" t="n">
        <v>100</v>
      </c>
      <c r="E65" s="16" t="s">
        <v>42</v>
      </c>
      <c r="F65" s="16" t="s">
        <v>100</v>
      </c>
    </row>
    <row r="66" customFormat="false" ht="15" hidden="false" customHeight="false" outlineLevel="0" collapsed="false">
      <c r="A66" s="16" t="s">
        <v>123</v>
      </c>
      <c r="B66" s="16" t="s">
        <v>74</v>
      </c>
      <c r="C66" s="16" t="s">
        <v>114</v>
      </c>
      <c r="D66" s="17" t="n">
        <v>100</v>
      </c>
      <c r="E66" s="16" t="s">
        <v>72</v>
      </c>
      <c r="F66" s="16" t="s">
        <v>100</v>
      </c>
    </row>
    <row r="67" customFormat="false" ht="15" hidden="false" customHeight="false" outlineLevel="0" collapsed="false">
      <c r="A67" s="16" t="s">
        <v>123</v>
      </c>
      <c r="B67" s="16" t="s">
        <v>74</v>
      </c>
      <c r="C67" s="16" t="s">
        <v>114</v>
      </c>
      <c r="D67" s="17" t="n">
        <v>100</v>
      </c>
      <c r="E67" s="16" t="s">
        <v>48</v>
      </c>
      <c r="F67" s="16" t="s">
        <v>100</v>
      </c>
    </row>
    <row r="68" customFormat="false" ht="15" hidden="false" customHeight="false" outlineLevel="0" collapsed="false">
      <c r="A68" s="16" t="s">
        <v>124</v>
      </c>
      <c r="B68" s="16" t="s">
        <v>61</v>
      </c>
      <c r="C68" s="16" t="s">
        <v>125</v>
      </c>
      <c r="D68" s="17" t="n">
        <v>100</v>
      </c>
      <c r="E68" s="16" t="s">
        <v>72</v>
      </c>
      <c r="F68" s="16" t="s">
        <v>100</v>
      </c>
    </row>
    <row r="69" customFormat="false" ht="15" hidden="false" customHeight="false" outlineLevel="0" collapsed="false">
      <c r="A69" s="16" t="s">
        <v>124</v>
      </c>
      <c r="B69" s="16" t="s">
        <v>61</v>
      </c>
      <c r="C69" s="16" t="s">
        <v>125</v>
      </c>
      <c r="D69" s="17" t="n">
        <v>100</v>
      </c>
      <c r="E69" s="16" t="s">
        <v>48</v>
      </c>
      <c r="F69" s="16" t="s">
        <v>100</v>
      </c>
    </row>
    <row r="70" customFormat="false" ht="15" hidden="false" customHeight="false" outlineLevel="0" collapsed="false">
      <c r="A70" s="16" t="s">
        <v>126</v>
      </c>
      <c r="B70" s="16" t="s">
        <v>61</v>
      </c>
      <c r="C70" s="16" t="s">
        <v>62</v>
      </c>
      <c r="D70" s="17" t="n">
        <v>150</v>
      </c>
      <c r="E70" s="16" t="s">
        <v>72</v>
      </c>
      <c r="F70" s="16" t="s">
        <v>100</v>
      </c>
    </row>
    <row r="71" customFormat="false" ht="15" hidden="false" customHeight="false" outlineLevel="0" collapsed="false">
      <c r="A71" s="16" t="s">
        <v>126</v>
      </c>
      <c r="B71" s="16" t="s">
        <v>61</v>
      </c>
      <c r="C71" s="16" t="s">
        <v>62</v>
      </c>
      <c r="D71" s="17" t="n">
        <v>150</v>
      </c>
      <c r="E71" s="16" t="s">
        <v>115</v>
      </c>
      <c r="F71" s="16" t="s">
        <v>100</v>
      </c>
    </row>
    <row r="72" customFormat="false" ht="15" hidden="false" customHeight="false" outlineLevel="0" collapsed="false">
      <c r="A72" s="5" t="s">
        <v>127</v>
      </c>
      <c r="B72" s="5" t="s">
        <v>74</v>
      </c>
      <c r="C72" s="5" t="s">
        <v>113</v>
      </c>
      <c r="D72" s="15" t="n">
        <v>200</v>
      </c>
      <c r="E72" s="5" t="s">
        <v>72</v>
      </c>
      <c r="F72" s="5"/>
    </row>
    <row r="73" customFormat="false" ht="15" hidden="false" customHeight="false" outlineLevel="0" collapsed="false">
      <c r="A73" s="5" t="s">
        <v>128</v>
      </c>
      <c r="B73" s="5" t="s">
        <v>129</v>
      </c>
      <c r="C73" s="5" t="s">
        <v>130</v>
      </c>
      <c r="D73" s="15" t="n">
        <v>105</v>
      </c>
      <c r="E73" s="5" t="s">
        <v>80</v>
      </c>
      <c r="F73" s="5"/>
    </row>
    <row r="74" customFormat="false" ht="15" hidden="false" customHeight="false" outlineLevel="0" collapsed="false">
      <c r="A74" s="5" t="s">
        <v>131</v>
      </c>
      <c r="B74" s="5" t="s">
        <v>92</v>
      </c>
      <c r="C74" s="5" t="s">
        <v>93</v>
      </c>
      <c r="D74" s="15" t="n">
        <v>125</v>
      </c>
      <c r="E74" s="5" t="s">
        <v>98</v>
      </c>
      <c r="F74" s="5"/>
    </row>
    <row r="75" customFormat="false" ht="15" hidden="false" customHeight="false" outlineLevel="0" collapsed="false">
      <c r="A75" s="5" t="s">
        <v>131</v>
      </c>
      <c r="B75" s="5" t="s">
        <v>92</v>
      </c>
      <c r="C75" s="5" t="s">
        <v>93</v>
      </c>
      <c r="D75" s="15" t="n">
        <v>150</v>
      </c>
      <c r="E75" s="5" t="s">
        <v>44</v>
      </c>
      <c r="F75" s="5"/>
    </row>
    <row r="76" customFormat="false" ht="15" hidden="false" customHeight="false" outlineLevel="0" collapsed="false">
      <c r="A76" s="16" t="s">
        <v>132</v>
      </c>
      <c r="B76" s="16" t="s">
        <v>53</v>
      </c>
      <c r="C76" s="16" t="s">
        <v>85</v>
      </c>
      <c r="D76" s="17" t="n">
        <v>114</v>
      </c>
      <c r="E76" s="16" t="s">
        <v>72</v>
      </c>
      <c r="F76" s="16" t="s">
        <v>100</v>
      </c>
    </row>
    <row r="77" customFormat="false" ht="15" hidden="false" customHeight="false" outlineLevel="0" collapsed="false">
      <c r="A77" s="16" t="s">
        <v>132</v>
      </c>
      <c r="B77" s="16" t="s">
        <v>53</v>
      </c>
      <c r="C77" s="16" t="s">
        <v>85</v>
      </c>
      <c r="D77" s="17" t="n">
        <v>114</v>
      </c>
      <c r="E77" s="16" t="s">
        <v>48</v>
      </c>
      <c r="F77" s="16" t="s">
        <v>100</v>
      </c>
    </row>
    <row r="78" customFormat="false" ht="15" hidden="false" customHeight="false" outlineLevel="0" collapsed="false">
      <c r="A78" s="16" t="s">
        <v>133</v>
      </c>
      <c r="B78" s="16" t="s">
        <v>53</v>
      </c>
      <c r="C78" s="16" t="s">
        <v>85</v>
      </c>
      <c r="D78" s="17" t="n">
        <v>170</v>
      </c>
      <c r="E78" s="16" t="s">
        <v>72</v>
      </c>
      <c r="F78" s="16" t="s">
        <v>100</v>
      </c>
    </row>
    <row r="79" customFormat="false" ht="15" hidden="false" customHeight="false" outlineLevel="0" collapsed="false">
      <c r="A79" s="16" t="s">
        <v>133</v>
      </c>
      <c r="B79" s="16" t="s">
        <v>53</v>
      </c>
      <c r="C79" s="16" t="s">
        <v>85</v>
      </c>
      <c r="D79" s="17" t="n">
        <v>170</v>
      </c>
      <c r="E79" s="16" t="s">
        <v>48</v>
      </c>
      <c r="F79" s="16" t="s">
        <v>100</v>
      </c>
    </row>
    <row r="80" customFormat="false" ht="15" hidden="false" customHeight="false" outlineLevel="0" collapsed="false">
      <c r="A80" s="16" t="s">
        <v>134</v>
      </c>
      <c r="B80" s="16" t="s">
        <v>53</v>
      </c>
      <c r="C80" s="16" t="s">
        <v>54</v>
      </c>
      <c r="D80" s="17" t="n">
        <v>51</v>
      </c>
      <c r="E80" s="16" t="s">
        <v>72</v>
      </c>
      <c r="F80" s="16" t="s">
        <v>76</v>
      </c>
    </row>
    <row r="81" customFormat="false" ht="15" hidden="false" customHeight="false" outlineLevel="0" collapsed="false">
      <c r="A81" s="16" t="s">
        <v>134</v>
      </c>
      <c r="B81" s="16" t="s">
        <v>53</v>
      </c>
      <c r="C81" s="16" t="s">
        <v>54</v>
      </c>
      <c r="D81" s="17" t="n">
        <v>51</v>
      </c>
      <c r="E81" s="16" t="s">
        <v>48</v>
      </c>
      <c r="F81" s="16" t="s">
        <v>76</v>
      </c>
    </row>
    <row r="82" customFormat="false" ht="15" hidden="false" customHeight="false" outlineLevel="0" collapsed="false">
      <c r="A82" s="16" t="s">
        <v>134</v>
      </c>
      <c r="B82" s="16" t="s">
        <v>53</v>
      </c>
      <c r="C82" s="16" t="s">
        <v>54</v>
      </c>
      <c r="D82" s="17" t="n">
        <v>135</v>
      </c>
      <c r="E82" s="16" t="s">
        <v>46</v>
      </c>
      <c r="F82" s="16" t="s">
        <v>76</v>
      </c>
    </row>
    <row r="83" customFormat="false" ht="15" hidden="false" customHeight="false" outlineLevel="0" collapsed="false">
      <c r="A83" s="16" t="s">
        <v>135</v>
      </c>
      <c r="B83" s="16" t="s">
        <v>53</v>
      </c>
      <c r="C83" s="16" t="s">
        <v>54</v>
      </c>
      <c r="D83" s="17" t="n">
        <v>250</v>
      </c>
      <c r="E83" s="16" t="s">
        <v>72</v>
      </c>
      <c r="F83" s="16" t="s">
        <v>136</v>
      </c>
    </row>
    <row r="84" customFormat="false" ht="15" hidden="false" customHeight="false" outlineLevel="0" collapsed="false">
      <c r="A84" s="16" t="s">
        <v>137</v>
      </c>
      <c r="B84" s="16" t="s">
        <v>61</v>
      </c>
      <c r="C84" s="16" t="s">
        <v>125</v>
      </c>
      <c r="D84" s="17" t="n">
        <v>95</v>
      </c>
      <c r="E84" s="16" t="s">
        <v>72</v>
      </c>
      <c r="F84" s="16" t="s">
        <v>100</v>
      </c>
    </row>
    <row r="85" customFormat="false" ht="15" hidden="false" customHeight="false" outlineLevel="0" collapsed="false">
      <c r="A85" s="16" t="s">
        <v>137</v>
      </c>
      <c r="B85" s="16" t="s">
        <v>61</v>
      </c>
      <c r="C85" s="16" t="s">
        <v>125</v>
      </c>
      <c r="D85" s="17" t="n">
        <v>95</v>
      </c>
      <c r="E85" s="16" t="s">
        <v>48</v>
      </c>
      <c r="F85" s="16" t="s">
        <v>100</v>
      </c>
    </row>
    <row r="86" customFormat="false" ht="15" hidden="false" customHeight="false" outlineLevel="0" collapsed="false">
      <c r="A86" s="16" t="s">
        <v>138</v>
      </c>
      <c r="B86" s="16" t="s">
        <v>104</v>
      </c>
      <c r="C86" s="16" t="s">
        <v>105</v>
      </c>
      <c r="D86" s="17" t="n">
        <v>120</v>
      </c>
      <c r="E86" s="16" t="s">
        <v>72</v>
      </c>
      <c r="F86" s="16" t="s">
        <v>139</v>
      </c>
    </row>
    <row r="87" customFormat="false" ht="15" hidden="false" customHeight="false" outlineLevel="0" collapsed="false">
      <c r="A87" s="5" t="s">
        <v>140</v>
      </c>
      <c r="B87" s="5" t="s">
        <v>40</v>
      </c>
      <c r="C87" s="5" t="s">
        <v>41</v>
      </c>
      <c r="D87" s="15" t="n">
        <v>80</v>
      </c>
      <c r="E87" s="5" t="s">
        <v>72</v>
      </c>
      <c r="F87" s="5"/>
    </row>
    <row r="88" customFormat="false" ht="15" hidden="false" customHeight="false" outlineLevel="0" collapsed="false">
      <c r="A88" s="5" t="s">
        <v>141</v>
      </c>
      <c r="B88" s="5" t="s">
        <v>74</v>
      </c>
      <c r="C88" s="5" t="s">
        <v>113</v>
      </c>
      <c r="D88" s="15" t="n">
        <v>120</v>
      </c>
      <c r="E88" s="5" t="s">
        <v>72</v>
      </c>
      <c r="F88" s="5"/>
    </row>
    <row r="89" customFormat="false" ht="15" hidden="false" customHeight="false" outlineLevel="0" collapsed="false">
      <c r="A89" s="5" t="s">
        <v>142</v>
      </c>
      <c r="B89" s="5" t="s">
        <v>50</v>
      </c>
      <c r="C89" s="5" t="s">
        <v>49</v>
      </c>
      <c r="D89" s="15" t="n">
        <v>150</v>
      </c>
      <c r="E89" s="5" t="s">
        <v>72</v>
      </c>
      <c r="F89" s="5"/>
    </row>
    <row r="90" customFormat="false" ht="15" hidden="false" customHeight="false" outlineLevel="0" collapsed="false">
      <c r="A90" s="16" t="s">
        <v>143</v>
      </c>
      <c r="B90" s="16" t="s">
        <v>53</v>
      </c>
      <c r="C90" s="16" t="s">
        <v>85</v>
      </c>
      <c r="D90" s="17" t="n">
        <v>170</v>
      </c>
      <c r="E90" s="16" t="s">
        <v>72</v>
      </c>
      <c r="F90" s="16" t="s">
        <v>144</v>
      </c>
    </row>
    <row r="91" customFormat="false" ht="15" hidden="false" customHeight="false" outlineLevel="0" collapsed="false">
      <c r="A91" s="18" t="s">
        <v>145</v>
      </c>
      <c r="B91" s="18" t="s">
        <v>53</v>
      </c>
      <c r="C91" s="18" t="s">
        <v>85</v>
      </c>
      <c r="D91" s="19" t="n">
        <v>35</v>
      </c>
      <c r="E91" s="18" t="s">
        <v>72</v>
      </c>
      <c r="F91" s="18" t="s">
        <v>100</v>
      </c>
    </row>
    <row r="92" customFormat="false" ht="15" hidden="false" customHeight="false" outlineLevel="0" collapsed="false">
      <c r="A92" s="18" t="s">
        <v>145</v>
      </c>
      <c r="B92" s="18" t="s">
        <v>53</v>
      </c>
      <c r="C92" s="18" t="s">
        <v>85</v>
      </c>
      <c r="D92" s="19" t="n">
        <v>35</v>
      </c>
      <c r="E92" s="18" t="s">
        <v>115</v>
      </c>
      <c r="F92" s="18" t="s">
        <v>100</v>
      </c>
    </row>
    <row r="93" customFormat="false" ht="15" hidden="false" customHeight="false" outlineLevel="0" collapsed="false">
      <c r="A93" s="5" t="s">
        <v>146</v>
      </c>
      <c r="B93" s="5" t="s">
        <v>53</v>
      </c>
      <c r="C93" s="5" t="s">
        <v>85</v>
      </c>
      <c r="D93" s="15" t="n">
        <v>150</v>
      </c>
      <c r="E93" s="5" t="s">
        <v>71</v>
      </c>
      <c r="F93" s="5"/>
    </row>
    <row r="94" customFormat="false" ht="15" hidden="false" customHeight="false" outlineLevel="0" collapsed="false">
      <c r="A94" s="5" t="s">
        <v>147</v>
      </c>
      <c r="B94" s="5" t="s">
        <v>53</v>
      </c>
      <c r="C94" s="5" t="s">
        <v>54</v>
      </c>
      <c r="D94" s="15" t="n">
        <v>76</v>
      </c>
      <c r="E94" s="5" t="s">
        <v>71</v>
      </c>
      <c r="F94" s="5"/>
    </row>
    <row r="95" customFormat="false" ht="15" hidden="false" customHeight="false" outlineLevel="0" collapsed="false">
      <c r="A95" s="5" t="s">
        <v>147</v>
      </c>
      <c r="B95" s="5" t="s">
        <v>53</v>
      </c>
      <c r="C95" s="5" t="s">
        <v>54</v>
      </c>
      <c r="D95" s="15" t="n">
        <v>50</v>
      </c>
      <c r="E95" s="5" t="s">
        <v>77</v>
      </c>
      <c r="F95" s="5"/>
    </row>
    <row r="96" customFormat="false" ht="15" hidden="false" customHeight="false" outlineLevel="0" collapsed="false">
      <c r="A96" s="18" t="s">
        <v>130</v>
      </c>
      <c r="B96" s="18" t="s">
        <v>40</v>
      </c>
      <c r="C96" s="18" t="s">
        <v>130</v>
      </c>
      <c r="D96" s="19" t="n">
        <v>47</v>
      </c>
      <c r="E96" s="18" t="s">
        <v>44</v>
      </c>
      <c r="F96" s="18" t="s">
        <v>148</v>
      </c>
    </row>
    <row r="97" customFormat="false" ht="15" hidden="false" customHeight="false" outlineLevel="0" collapsed="false">
      <c r="A97" s="18" t="s">
        <v>149</v>
      </c>
      <c r="B97" s="18" t="s">
        <v>92</v>
      </c>
      <c r="C97" s="18" t="s">
        <v>93</v>
      </c>
      <c r="D97" s="19" t="n">
        <v>25</v>
      </c>
      <c r="E97" s="18" t="s">
        <v>98</v>
      </c>
      <c r="F97" s="18" t="s">
        <v>148</v>
      </c>
    </row>
    <row r="98" customFormat="false" ht="15" hidden="false" customHeight="false" outlineLevel="0" collapsed="false">
      <c r="A98" s="18" t="s">
        <v>150</v>
      </c>
      <c r="B98" s="18" t="s">
        <v>92</v>
      </c>
      <c r="C98" s="18" t="s">
        <v>93</v>
      </c>
      <c r="D98" s="19" t="n">
        <v>15</v>
      </c>
      <c r="E98" s="18" t="s">
        <v>98</v>
      </c>
      <c r="F98" s="18" t="s">
        <v>148</v>
      </c>
    </row>
    <row r="99" customFormat="false" ht="15" hidden="false" customHeight="false" outlineLevel="0" collapsed="false">
      <c r="A99" s="18" t="s">
        <v>150</v>
      </c>
      <c r="B99" s="18" t="s">
        <v>92</v>
      </c>
      <c r="C99" s="18" t="s">
        <v>93</v>
      </c>
      <c r="D99" s="19" t="n">
        <v>15</v>
      </c>
      <c r="E99" s="18" t="s">
        <v>42</v>
      </c>
      <c r="F99" s="18" t="s">
        <v>148</v>
      </c>
    </row>
    <row r="100" customFormat="false" ht="15" hidden="false" customHeight="false" outlineLevel="0" collapsed="false">
      <c r="A100" s="5" t="s">
        <v>151</v>
      </c>
      <c r="B100" s="5" t="s">
        <v>92</v>
      </c>
      <c r="C100" s="5" t="s">
        <v>93</v>
      </c>
      <c r="D100" s="15" t="n">
        <v>130</v>
      </c>
      <c r="E100" s="5" t="s">
        <v>46</v>
      </c>
      <c r="F100" s="5"/>
    </row>
    <row r="101" customFormat="false" ht="15" hidden="false" customHeight="false" outlineLevel="0" collapsed="false">
      <c r="A101" s="18" t="s">
        <v>152</v>
      </c>
      <c r="B101" s="18" t="s">
        <v>92</v>
      </c>
      <c r="C101" s="18" t="s">
        <v>93</v>
      </c>
      <c r="D101" s="19" t="n">
        <v>12</v>
      </c>
      <c r="E101" s="18" t="s">
        <v>46</v>
      </c>
      <c r="F101" s="18" t="s">
        <v>148</v>
      </c>
    </row>
    <row r="102" customFormat="false" ht="15" hidden="false" customHeight="false" outlineLevel="0" collapsed="false">
      <c r="A102" s="5" t="s">
        <v>153</v>
      </c>
      <c r="B102" s="5" t="s">
        <v>53</v>
      </c>
      <c r="C102" s="5" t="s">
        <v>85</v>
      </c>
      <c r="D102" s="15" t="n">
        <v>150</v>
      </c>
      <c r="E102" s="5" t="s">
        <v>116</v>
      </c>
      <c r="F102" s="5"/>
    </row>
    <row r="103" customFormat="false" ht="15" hidden="false" customHeight="false" outlineLevel="0" collapsed="false">
      <c r="A103" s="5" t="s">
        <v>154</v>
      </c>
      <c r="B103" s="5" t="s">
        <v>155</v>
      </c>
      <c r="C103" s="5" t="s">
        <v>41</v>
      </c>
      <c r="D103" s="15" t="n">
        <v>355</v>
      </c>
      <c r="E103" s="5" t="s">
        <v>156</v>
      </c>
      <c r="F103" s="5" t="s">
        <v>157</v>
      </c>
    </row>
    <row r="104" customFormat="false" ht="15" hidden="false" customHeight="false" outlineLevel="0" collapsed="false">
      <c r="A104" s="5" t="s">
        <v>158</v>
      </c>
      <c r="B104" s="5" t="s">
        <v>74</v>
      </c>
      <c r="C104" s="5" t="s">
        <v>75</v>
      </c>
      <c r="D104" s="15" t="n">
        <v>50</v>
      </c>
      <c r="E104" s="5" t="s">
        <v>159</v>
      </c>
      <c r="F104" s="5"/>
    </row>
    <row r="105" customFormat="false" ht="15" hidden="false" customHeight="false" outlineLevel="0" collapsed="false">
      <c r="A105" s="5" t="s">
        <v>160</v>
      </c>
      <c r="B105" s="5" t="s">
        <v>40</v>
      </c>
      <c r="C105" s="5" t="s">
        <v>41</v>
      </c>
      <c r="D105" s="15" t="n">
        <v>126</v>
      </c>
      <c r="E105" s="5" t="s">
        <v>161</v>
      </c>
      <c r="F105" s="5" t="s">
        <v>162</v>
      </c>
    </row>
    <row r="106" customFormat="false" ht="15" hidden="false" customHeight="false" outlineLevel="0" collapsed="false">
      <c r="A106" s="16" t="s">
        <v>163</v>
      </c>
      <c r="B106" s="16" t="s">
        <v>40</v>
      </c>
      <c r="C106" s="16" t="s">
        <v>41</v>
      </c>
      <c r="D106" s="17" t="n">
        <v>339</v>
      </c>
      <c r="E106" s="16" t="s">
        <v>98</v>
      </c>
      <c r="F106" s="16" t="s">
        <v>164</v>
      </c>
    </row>
    <row r="107" customFormat="false" ht="15" hidden="false" customHeight="false" outlineLevel="0" collapsed="false">
      <c r="A107" s="16" t="s">
        <v>163</v>
      </c>
      <c r="B107" s="16" t="s">
        <v>40</v>
      </c>
      <c r="C107" s="16" t="s">
        <v>41</v>
      </c>
      <c r="D107" s="17" t="n">
        <v>335</v>
      </c>
      <c r="E107" s="16" t="s">
        <v>98</v>
      </c>
      <c r="F107" s="16" t="s">
        <v>164</v>
      </c>
    </row>
    <row r="108" customFormat="false" ht="15" hidden="false" customHeight="false" outlineLevel="0" collapsed="false">
      <c r="A108" s="16" t="s">
        <v>163</v>
      </c>
      <c r="B108" s="16" t="s">
        <v>40</v>
      </c>
      <c r="C108" s="16" t="s">
        <v>41</v>
      </c>
      <c r="D108" s="17" t="n">
        <v>265</v>
      </c>
      <c r="E108" s="16" t="s">
        <v>98</v>
      </c>
      <c r="F108" s="16" t="s">
        <v>164</v>
      </c>
    </row>
    <row r="109" customFormat="false" ht="15" hidden="false" customHeight="false" outlineLevel="0" collapsed="false">
      <c r="C109" s="12" t="s">
        <v>165</v>
      </c>
      <c r="D109" s="13" t="n">
        <f aca="false">SUM(D2:D108)</f>
        <v>16713</v>
      </c>
    </row>
    <row r="111" customFormat="false" ht="15" hidden="false" customHeight="false" outlineLevel="0" collapsed="false">
      <c r="A111" s="14" t="s">
        <v>166</v>
      </c>
    </row>
  </sheetData>
  <autoFilter ref="A1:F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1"/>
    <col collapsed="false" customWidth="true" hidden="false" outlineLevel="0" max="6" min="6" style="0" width="30"/>
  </cols>
  <sheetData>
    <row r="1" customFormat="false" ht="31.5" hidden="false" customHeight="true" outlineLevel="0" collapsed="false">
      <c r="A1" s="11" t="s">
        <v>167</v>
      </c>
      <c r="B1" s="11" t="s">
        <v>35</v>
      </c>
      <c r="C1" s="11" t="s">
        <v>37</v>
      </c>
      <c r="D1" s="11" t="s">
        <v>168</v>
      </c>
      <c r="E1" s="11" t="s">
        <v>169</v>
      </c>
      <c r="F1" s="11" t="s">
        <v>170</v>
      </c>
    </row>
    <row r="2" customFormat="false" ht="15" hidden="false" customHeight="false" outlineLevel="0" collapsed="false">
      <c r="A2" s="5" t="n">
        <v>1</v>
      </c>
      <c r="B2" s="5" t="s">
        <v>163</v>
      </c>
      <c r="C2" s="5" t="s">
        <v>41</v>
      </c>
      <c r="D2" s="8" t="n">
        <f aca="false">SUMIF('Food - All Deliveries'!$A$2:$A$108,B2,'Food - All Deliveries'!$D$2:$D$108)</f>
        <v>939</v>
      </c>
      <c r="E2" s="5" t="n">
        <f aca="false">COUNTIF('Food - All Deliveries'!$A$2:$A$108,B2)</f>
        <v>3</v>
      </c>
      <c r="F2" s="5" t="s">
        <v>171</v>
      </c>
    </row>
    <row r="3" customFormat="false" ht="15" hidden="false" customHeight="false" outlineLevel="0" collapsed="false">
      <c r="A3" s="5" t="n">
        <v>2</v>
      </c>
      <c r="B3" s="5" t="s">
        <v>66</v>
      </c>
      <c r="C3" s="5" t="s">
        <v>67</v>
      </c>
      <c r="D3" s="8" t="n">
        <f aca="false">SUMIF('Food - All Deliveries'!$A$2:$A$108,B3,'Food - All Deliveries'!$D$2:$D$108)</f>
        <v>835</v>
      </c>
      <c r="E3" s="5" t="n">
        <f aca="false">COUNTIF('Food - All Deliveries'!$A$2:$A$108,B3)</f>
        <v>4</v>
      </c>
      <c r="F3" s="5" t="s">
        <v>172</v>
      </c>
    </row>
    <row r="4" customFormat="false" ht="15" hidden="false" customHeight="false" outlineLevel="0" collapsed="false">
      <c r="A4" s="5" t="n">
        <v>3</v>
      </c>
      <c r="B4" s="5" t="s">
        <v>52</v>
      </c>
      <c r="C4" s="5" t="s">
        <v>54</v>
      </c>
      <c r="D4" s="8" t="n">
        <f aca="false">SUMIF('Food - All Deliveries'!$A$2:$A$108,B4,'Food - All Deliveries'!$D$2:$D$108)</f>
        <v>606</v>
      </c>
      <c r="E4" s="5" t="n">
        <f aca="false">COUNTIF('Food - All Deliveries'!$A$2:$A$108,B4)</f>
        <v>2</v>
      </c>
      <c r="F4" s="5" t="s">
        <v>171</v>
      </c>
    </row>
    <row r="5" customFormat="false" ht="15" hidden="false" customHeight="false" outlineLevel="0" collapsed="false">
      <c r="A5" s="5" t="n">
        <v>4</v>
      </c>
      <c r="B5" s="5" t="s">
        <v>39</v>
      </c>
      <c r="C5" s="5" t="s">
        <v>41</v>
      </c>
      <c r="D5" s="8" t="n">
        <f aca="false">SUMIF('Food - All Deliveries'!$A$2:$A$108,B5,'Food - All Deliveries'!$D$2:$D$108)</f>
        <v>600</v>
      </c>
      <c r="E5" s="5" t="n">
        <f aca="false">COUNTIF('Food - All Deliveries'!$A$2:$A$108,B5)</f>
        <v>1</v>
      </c>
      <c r="F5" s="5" t="s">
        <v>171</v>
      </c>
    </row>
    <row r="6" customFormat="false" ht="15" hidden="false" customHeight="false" outlineLevel="0" collapsed="false">
      <c r="A6" s="5" t="n">
        <v>5</v>
      </c>
      <c r="B6" s="5" t="s">
        <v>64</v>
      </c>
      <c r="C6" s="5" t="s">
        <v>64</v>
      </c>
      <c r="D6" s="8" t="n">
        <f aca="false">SUMIF('Food - All Deliveries'!$A$2:$A$108,B6,'Food - All Deliveries'!$D$2:$D$108)</f>
        <v>450</v>
      </c>
      <c r="E6" s="5" t="n">
        <f aca="false">COUNTIF('Food - All Deliveries'!$A$2:$A$108,B6)</f>
        <v>2</v>
      </c>
      <c r="F6" s="5" t="s">
        <v>172</v>
      </c>
    </row>
    <row r="7" customFormat="false" ht="15" hidden="false" customHeight="false" outlineLevel="0" collapsed="false">
      <c r="A7" s="5" t="n">
        <v>6</v>
      </c>
      <c r="B7" s="5" t="s">
        <v>57</v>
      </c>
      <c r="C7" s="5" t="s">
        <v>41</v>
      </c>
      <c r="D7" s="8" t="n">
        <f aca="false">SUMIF('Food - All Deliveries'!$A$2:$A$108,B7,'Food - All Deliveries'!$D$2:$D$108)</f>
        <v>436</v>
      </c>
      <c r="E7" s="5" t="n">
        <f aca="false">COUNTIF('Food - All Deliveries'!$A$2:$A$108,B7)</f>
        <v>1</v>
      </c>
      <c r="F7" s="5" t="s">
        <v>171</v>
      </c>
    </row>
    <row r="8" customFormat="false" ht="15" hidden="false" customHeight="false" outlineLevel="0" collapsed="false">
      <c r="A8" s="5" t="n">
        <v>7</v>
      </c>
      <c r="B8" s="5" t="s">
        <v>45</v>
      </c>
      <c r="C8" s="5" t="s">
        <v>41</v>
      </c>
      <c r="D8" s="8" t="n">
        <f aca="false">SUMIF('Food - All Deliveries'!$A$2:$A$108,B8,'Food - All Deliveries'!$D$2:$D$108)</f>
        <v>420</v>
      </c>
      <c r="E8" s="5" t="n">
        <f aca="false">COUNTIF('Food - All Deliveries'!$A$2:$A$108,B8)</f>
        <v>1</v>
      </c>
      <c r="F8" s="5" t="s">
        <v>171</v>
      </c>
    </row>
    <row r="9" customFormat="false" ht="15" hidden="false" customHeight="false" outlineLevel="0" collapsed="false">
      <c r="A9" s="5" t="n">
        <v>8</v>
      </c>
      <c r="B9" s="5" t="s">
        <v>73</v>
      </c>
      <c r="C9" s="5" t="s">
        <v>75</v>
      </c>
      <c r="D9" s="8" t="n">
        <f aca="false">SUMIF('Food - All Deliveries'!$A$2:$A$108,B9,'Food - All Deliveries'!$D$2:$D$108)</f>
        <v>400</v>
      </c>
      <c r="E9" s="5" t="n">
        <f aca="false">COUNTIF('Food - All Deliveries'!$A$2:$A$108,B9)</f>
        <v>2</v>
      </c>
      <c r="F9" s="5" t="s">
        <v>172</v>
      </c>
    </row>
    <row r="10" customFormat="false" ht="15" hidden="false" customHeight="false" outlineLevel="0" collapsed="false">
      <c r="A10" s="5" t="n">
        <v>9</v>
      </c>
      <c r="B10" s="5" t="s">
        <v>114</v>
      </c>
      <c r="C10" s="5" t="s">
        <v>114</v>
      </c>
      <c r="D10" s="8" t="n">
        <f aca="false">SUMIF('Food - All Deliveries'!$A$2:$A$108,B10,'Food - All Deliveries'!$D$2:$D$108)</f>
        <v>400</v>
      </c>
      <c r="E10" s="5" t="n">
        <f aca="false">COUNTIF('Food - All Deliveries'!$A$2:$A$108,B10)</f>
        <v>2</v>
      </c>
      <c r="F10" s="5" t="s">
        <v>171</v>
      </c>
    </row>
    <row r="11" customFormat="false" ht="15" hidden="false" customHeight="false" outlineLevel="0" collapsed="false">
      <c r="A11" s="5" t="n">
        <v>10</v>
      </c>
      <c r="B11" s="5" t="s">
        <v>43</v>
      </c>
      <c r="C11" s="5" t="s">
        <v>41</v>
      </c>
      <c r="D11" s="8" t="n">
        <f aca="false">SUMIF('Food - All Deliveries'!$A$2:$A$108,B11,'Food - All Deliveries'!$D$2:$D$108)</f>
        <v>399</v>
      </c>
      <c r="E11" s="5" t="n">
        <f aca="false">COUNTIF('Food - All Deliveries'!$A$2:$A$108,B11)</f>
        <v>1</v>
      </c>
      <c r="F11" s="5" t="s">
        <v>171</v>
      </c>
    </row>
    <row r="12" customFormat="false" ht="15" hidden="false" customHeight="false" outlineLevel="0" collapsed="false">
      <c r="A12" s="5" t="n">
        <v>11</v>
      </c>
      <c r="B12" s="5" t="s">
        <v>69</v>
      </c>
      <c r="C12" s="5" t="s">
        <v>70</v>
      </c>
      <c r="D12" s="8" t="n">
        <f aca="false">SUMIF('Food - All Deliveries'!$A$2:$A$108,B12,'Food - All Deliveries'!$D$2:$D$108)</f>
        <v>385</v>
      </c>
      <c r="E12" s="5" t="n">
        <f aca="false">COUNTIF('Food - All Deliveries'!$A$2:$A$108,B12)</f>
        <v>2</v>
      </c>
      <c r="F12" s="5" t="s">
        <v>172</v>
      </c>
    </row>
    <row r="13" customFormat="false" ht="15" hidden="false" customHeight="false" outlineLevel="0" collapsed="false">
      <c r="A13" s="5" t="n">
        <v>12</v>
      </c>
      <c r="B13" s="5" t="s">
        <v>94</v>
      </c>
      <c r="C13" s="5" t="s">
        <v>95</v>
      </c>
      <c r="D13" s="8" t="n">
        <f aca="false">SUMIF('Food - All Deliveries'!$A$2:$A$108,B13,'Food - All Deliveries'!$D$2:$D$108)</f>
        <v>380</v>
      </c>
      <c r="E13" s="5" t="n">
        <f aca="false">COUNTIF('Food - All Deliveries'!$A$2:$A$108,B13)</f>
        <v>3</v>
      </c>
      <c r="F13" s="5" t="s">
        <v>172</v>
      </c>
    </row>
    <row r="14" customFormat="false" ht="15" hidden="false" customHeight="false" outlineLevel="0" collapsed="false">
      <c r="A14" s="5" t="n">
        <v>13</v>
      </c>
      <c r="B14" s="5" t="s">
        <v>154</v>
      </c>
      <c r="C14" s="5" t="s">
        <v>41</v>
      </c>
      <c r="D14" s="8" t="n">
        <f aca="false">SUMIF('Food - All Deliveries'!$A$2:$A$108,B14,'Food - All Deliveries'!$D$2:$D$108)</f>
        <v>355</v>
      </c>
      <c r="E14" s="5" t="n">
        <f aca="false">COUNTIF('Food - All Deliveries'!$A$2:$A$108,B14)</f>
        <v>1</v>
      </c>
      <c r="F14" s="5" t="s">
        <v>171</v>
      </c>
    </row>
    <row r="15" customFormat="false" ht="15" hidden="false" customHeight="false" outlineLevel="0" collapsed="false">
      <c r="A15" s="5" t="n">
        <v>14</v>
      </c>
      <c r="B15" s="5" t="s">
        <v>47</v>
      </c>
      <c r="C15" s="5" t="s">
        <v>41</v>
      </c>
      <c r="D15" s="8" t="n">
        <f aca="false">SUMIF('Food - All Deliveries'!$A$2:$A$108,B15,'Food - All Deliveries'!$D$2:$D$108)</f>
        <v>352</v>
      </c>
      <c r="E15" s="5" t="n">
        <f aca="false">COUNTIF('Food - All Deliveries'!$A$2:$A$108,B15)</f>
        <v>1</v>
      </c>
      <c r="F15" s="5" t="s">
        <v>171</v>
      </c>
    </row>
    <row r="16" customFormat="false" ht="15" hidden="false" customHeight="false" outlineLevel="0" collapsed="false">
      <c r="A16" s="5" t="n">
        <v>15</v>
      </c>
      <c r="B16" s="5" t="s">
        <v>81</v>
      </c>
      <c r="C16" s="5" t="s">
        <v>82</v>
      </c>
      <c r="D16" s="8" t="n">
        <f aca="false">SUMIF('Food - All Deliveries'!$A$2:$A$108,B16,'Food - All Deliveries'!$D$2:$D$108)</f>
        <v>350</v>
      </c>
      <c r="E16" s="5" t="n">
        <f aca="false">COUNTIF('Food - All Deliveries'!$A$2:$A$108,B16)</f>
        <v>3</v>
      </c>
      <c r="F16" s="5" t="s">
        <v>172</v>
      </c>
    </row>
    <row r="17" customFormat="false" ht="15" hidden="false" customHeight="false" outlineLevel="0" collapsed="false">
      <c r="A17" s="5" t="n">
        <v>16</v>
      </c>
      <c r="B17" s="5" t="s">
        <v>111</v>
      </c>
      <c r="C17" s="5" t="s">
        <v>111</v>
      </c>
      <c r="D17" s="8" t="n">
        <f aca="false">SUMIF('Food - All Deliveries'!$A$2:$A$108,B17,'Food - All Deliveries'!$D$2:$D$108)</f>
        <v>350</v>
      </c>
      <c r="E17" s="5" t="n">
        <f aca="false">COUNTIF('Food - All Deliveries'!$A$2:$A$108,B17)</f>
        <v>2</v>
      </c>
      <c r="F17" s="5" t="s">
        <v>172</v>
      </c>
    </row>
    <row r="18" customFormat="false" ht="15" hidden="false" customHeight="false" outlineLevel="0" collapsed="false">
      <c r="A18" s="5" t="n">
        <v>17</v>
      </c>
      <c r="B18" s="5" t="s">
        <v>117</v>
      </c>
      <c r="C18" s="5" t="s">
        <v>41</v>
      </c>
      <c r="D18" s="8" t="n">
        <f aca="false">SUMIF('Food - All Deliveries'!$A$2:$A$108,B18,'Food - All Deliveries'!$D$2:$D$108)</f>
        <v>342</v>
      </c>
      <c r="E18" s="5" t="n">
        <f aca="false">COUNTIF('Food - All Deliveries'!$A$2:$A$108,B18)</f>
        <v>3</v>
      </c>
      <c r="F18" s="5" t="s">
        <v>172</v>
      </c>
    </row>
    <row r="19" customFormat="false" ht="15" hidden="false" customHeight="false" outlineLevel="0" collapsed="false">
      <c r="A19" s="5" t="n">
        <v>18</v>
      </c>
      <c r="B19" s="5" t="s">
        <v>133</v>
      </c>
      <c r="C19" s="5" t="s">
        <v>85</v>
      </c>
      <c r="D19" s="8" t="n">
        <f aca="false">SUMIF('Food - All Deliveries'!$A$2:$A$108,B19,'Food - All Deliveries'!$D$2:$D$108)</f>
        <v>340</v>
      </c>
      <c r="E19" s="5" t="n">
        <f aca="false">COUNTIF('Food - All Deliveries'!$A$2:$A$108,B19)</f>
        <v>2</v>
      </c>
      <c r="F19" s="5" t="s">
        <v>172</v>
      </c>
    </row>
    <row r="20" customFormat="false" ht="15" hidden="false" customHeight="false" outlineLevel="0" collapsed="false">
      <c r="A20" s="5" t="n">
        <v>19</v>
      </c>
      <c r="B20" s="5" t="s">
        <v>103</v>
      </c>
      <c r="C20" s="5" t="s">
        <v>105</v>
      </c>
      <c r="D20" s="8" t="n">
        <f aca="false">SUMIF('Food - All Deliveries'!$A$2:$A$108,B20,'Food - All Deliveries'!$D$2:$D$108)</f>
        <v>320</v>
      </c>
      <c r="E20" s="5" t="n">
        <f aca="false">COUNTIF('Food - All Deliveries'!$A$2:$A$108,B20)</f>
        <v>3</v>
      </c>
      <c r="F20" s="5" t="s">
        <v>172</v>
      </c>
    </row>
    <row r="21" customFormat="false" ht="15" hidden="false" customHeight="false" outlineLevel="0" collapsed="false">
      <c r="A21" s="5" t="n">
        <v>20</v>
      </c>
      <c r="B21" s="5" t="s">
        <v>78</v>
      </c>
      <c r="C21" s="5" t="s">
        <v>54</v>
      </c>
      <c r="D21" s="8" t="n">
        <f aca="false">SUMIF('Food - All Deliveries'!$A$2:$A$108,B21,'Food - All Deliveries'!$D$2:$D$108)</f>
        <v>319</v>
      </c>
      <c r="E21" s="5" t="n">
        <f aca="false">COUNTIF('Food - All Deliveries'!$A$2:$A$108,B21)</f>
        <v>2</v>
      </c>
      <c r="F21" s="5" t="s">
        <v>172</v>
      </c>
    </row>
    <row r="22" customFormat="false" ht="15" hidden="false" customHeight="false" outlineLevel="0" collapsed="false">
      <c r="A22" s="5" t="n">
        <v>21</v>
      </c>
      <c r="B22" s="5" t="s">
        <v>86</v>
      </c>
      <c r="C22" s="5" t="s">
        <v>88</v>
      </c>
      <c r="D22" s="8" t="n">
        <f aca="false">SUMIF('Food - All Deliveries'!$A$2:$A$108,B22,'Food - All Deliveries'!$D$2:$D$108)</f>
        <v>319</v>
      </c>
      <c r="E22" s="5" t="n">
        <f aca="false">COUNTIF('Food - All Deliveries'!$A$2:$A$108,B22)</f>
        <v>2</v>
      </c>
      <c r="F22" s="5" t="s">
        <v>172</v>
      </c>
    </row>
    <row r="23" customFormat="false" ht="15" hidden="false" customHeight="false" outlineLevel="0" collapsed="false">
      <c r="A23" s="5" t="n">
        <v>22</v>
      </c>
      <c r="B23" s="5" t="s">
        <v>49</v>
      </c>
      <c r="C23" s="5" t="s">
        <v>49</v>
      </c>
      <c r="D23" s="8" t="n">
        <f aca="false">SUMIF('Food - All Deliveries'!$A$2:$A$108,B23,'Food - All Deliveries'!$D$2:$D$108)</f>
        <v>310</v>
      </c>
      <c r="E23" s="5" t="n">
        <f aca="false">COUNTIF('Food - All Deliveries'!$A$2:$A$108,B23)</f>
        <v>1</v>
      </c>
      <c r="F23" s="5" t="s">
        <v>171</v>
      </c>
    </row>
    <row r="24" customFormat="false" ht="15" hidden="false" customHeight="false" outlineLevel="0" collapsed="false">
      <c r="A24" s="5" t="n">
        <v>23</v>
      </c>
      <c r="B24" s="5" t="s">
        <v>83</v>
      </c>
      <c r="C24" s="5" t="s">
        <v>41</v>
      </c>
      <c r="D24" s="8" t="n">
        <f aca="false">SUMIF('Food - All Deliveries'!$A$2:$A$108,B24,'Food - All Deliveries'!$D$2:$D$108)</f>
        <v>303</v>
      </c>
      <c r="E24" s="5" t="n">
        <f aca="false">COUNTIF('Food - All Deliveries'!$A$2:$A$108,B24)</f>
        <v>3</v>
      </c>
      <c r="F24" s="5" t="s">
        <v>172</v>
      </c>
    </row>
    <row r="25" customFormat="false" ht="15" hidden="false" customHeight="false" outlineLevel="0" collapsed="false">
      <c r="A25" s="5" t="n">
        <v>24</v>
      </c>
      <c r="B25" s="5" t="s">
        <v>59</v>
      </c>
      <c r="C25" s="5" t="s">
        <v>49</v>
      </c>
      <c r="D25" s="8" t="n">
        <f aca="false">SUMIF('Food - All Deliveries'!$A$2:$A$108,B25,'Food - All Deliveries'!$D$2:$D$108)</f>
        <v>300</v>
      </c>
      <c r="E25" s="5" t="n">
        <f aca="false">COUNTIF('Food - All Deliveries'!$A$2:$A$108,B25)</f>
        <v>1</v>
      </c>
      <c r="F25" s="5" t="s">
        <v>171</v>
      </c>
    </row>
    <row r="26" customFormat="false" ht="15" hidden="false" customHeight="false" outlineLevel="0" collapsed="false">
      <c r="A26" s="5" t="n">
        <v>25</v>
      </c>
      <c r="B26" s="5" t="s">
        <v>126</v>
      </c>
      <c r="C26" s="5" t="s">
        <v>62</v>
      </c>
      <c r="D26" s="8" t="n">
        <f aca="false">SUMIF('Food - All Deliveries'!$A$2:$A$108,B26,'Food - All Deliveries'!$D$2:$D$108)</f>
        <v>300</v>
      </c>
      <c r="E26" s="5" t="n">
        <f aca="false">COUNTIF('Food - All Deliveries'!$A$2:$A$108,B26)</f>
        <v>2</v>
      </c>
      <c r="F26" s="5" t="s">
        <v>172</v>
      </c>
    </row>
    <row r="27" customFormat="false" ht="15" hidden="false" customHeight="false" outlineLevel="0" collapsed="false">
      <c r="A27" s="5" t="n">
        <v>26</v>
      </c>
      <c r="B27" s="5" t="s">
        <v>112</v>
      </c>
      <c r="C27" s="5" t="s">
        <v>113</v>
      </c>
      <c r="D27" s="8" t="n">
        <f aca="false">SUMIF('Food - All Deliveries'!$A$2:$A$108,B27,'Food - All Deliveries'!$D$2:$D$108)</f>
        <v>297</v>
      </c>
      <c r="E27" s="5" t="n">
        <f aca="false">COUNTIF('Food - All Deliveries'!$A$2:$A$108,B27)</f>
        <v>4</v>
      </c>
      <c r="F27" s="5" t="s">
        <v>172</v>
      </c>
    </row>
    <row r="28" customFormat="false" ht="15" hidden="false" customHeight="false" outlineLevel="0" collapsed="false">
      <c r="A28" s="5" t="n">
        <v>27</v>
      </c>
      <c r="B28" s="5" t="s">
        <v>131</v>
      </c>
      <c r="C28" s="5" t="s">
        <v>93</v>
      </c>
      <c r="D28" s="8" t="n">
        <f aca="false">SUMIF('Food - All Deliveries'!$A$2:$A$108,B28,'Food - All Deliveries'!$D$2:$D$108)</f>
        <v>275</v>
      </c>
      <c r="E28" s="5" t="n">
        <f aca="false">COUNTIF('Food - All Deliveries'!$A$2:$A$108,B28)</f>
        <v>2</v>
      </c>
      <c r="F28" s="5" t="s">
        <v>172</v>
      </c>
    </row>
    <row r="29" customFormat="false" ht="15" hidden="false" customHeight="false" outlineLevel="0" collapsed="false">
      <c r="A29" s="5" t="n">
        <v>28</v>
      </c>
      <c r="B29" s="5" t="s">
        <v>101</v>
      </c>
      <c r="C29" s="5" t="s">
        <v>85</v>
      </c>
      <c r="D29" s="8" t="n">
        <f aca="false">SUMIF('Food - All Deliveries'!$A$2:$A$108,B29,'Food - All Deliveries'!$D$2:$D$108)</f>
        <v>272</v>
      </c>
      <c r="E29" s="5" t="n">
        <f aca="false">COUNTIF('Food - All Deliveries'!$A$2:$A$108,B29)</f>
        <v>2</v>
      </c>
      <c r="F29" s="5" t="s">
        <v>172</v>
      </c>
    </row>
    <row r="30" customFormat="false" ht="15" hidden="false" customHeight="false" outlineLevel="0" collapsed="false">
      <c r="A30" s="5" t="n">
        <v>29</v>
      </c>
      <c r="B30" s="5" t="s">
        <v>60</v>
      </c>
      <c r="C30" s="5" t="s">
        <v>62</v>
      </c>
      <c r="D30" s="8" t="n">
        <f aca="false">SUMIF('Food - All Deliveries'!$A$2:$A$108,B30,'Food - All Deliveries'!$D$2:$D$108)</f>
        <v>250</v>
      </c>
      <c r="E30" s="5" t="n">
        <f aca="false">COUNTIF('Food - All Deliveries'!$A$2:$A$108,B30)</f>
        <v>1</v>
      </c>
      <c r="F30" s="5"/>
    </row>
    <row r="31" customFormat="false" ht="15" hidden="false" customHeight="false" outlineLevel="0" collapsed="false">
      <c r="A31" s="5" t="n">
        <v>30</v>
      </c>
      <c r="B31" s="5" t="s">
        <v>84</v>
      </c>
      <c r="C31" s="5" t="s">
        <v>85</v>
      </c>
      <c r="D31" s="8" t="n">
        <f aca="false">SUMIF('Food - All Deliveries'!$A$2:$A$108,B31,'Food - All Deliveries'!$D$2:$D$108)</f>
        <v>250</v>
      </c>
      <c r="E31" s="5" t="n">
        <f aca="false">COUNTIF('Food - All Deliveries'!$A$2:$A$108,B31)</f>
        <v>2</v>
      </c>
      <c r="F31" s="5" t="s">
        <v>172</v>
      </c>
    </row>
    <row r="32" customFormat="false" ht="15" hidden="false" customHeight="false" outlineLevel="0" collapsed="false">
      <c r="A32" s="5" t="n">
        <v>31</v>
      </c>
      <c r="B32" s="5" t="s">
        <v>99</v>
      </c>
      <c r="C32" s="5" t="s">
        <v>93</v>
      </c>
      <c r="D32" s="8" t="n">
        <f aca="false">SUMIF('Food - All Deliveries'!$A$2:$A$108,B32,'Food - All Deliveries'!$D$2:$D$108)</f>
        <v>250</v>
      </c>
      <c r="E32" s="5" t="n">
        <f aca="false">COUNTIF('Food - All Deliveries'!$A$2:$A$108,B32)</f>
        <v>2</v>
      </c>
      <c r="F32" s="5" t="s">
        <v>172</v>
      </c>
    </row>
    <row r="33" customFormat="false" ht="15" hidden="false" customHeight="false" outlineLevel="0" collapsed="false">
      <c r="A33" s="5" t="n">
        <v>32</v>
      </c>
      <c r="B33" s="5" t="s">
        <v>118</v>
      </c>
      <c r="C33" s="5" t="s">
        <v>85</v>
      </c>
      <c r="D33" s="8" t="n">
        <f aca="false">SUMIF('Food - All Deliveries'!$A$2:$A$108,B33,'Food - All Deliveries'!$D$2:$D$108)</f>
        <v>250</v>
      </c>
      <c r="E33" s="5" t="n">
        <f aca="false">COUNTIF('Food - All Deliveries'!$A$2:$A$108,B33)</f>
        <v>2</v>
      </c>
      <c r="F33" s="5" t="s">
        <v>172</v>
      </c>
    </row>
    <row r="34" customFormat="false" ht="15" hidden="false" customHeight="false" outlineLevel="0" collapsed="false">
      <c r="A34" s="5" t="n">
        <v>33</v>
      </c>
      <c r="B34" s="5" t="s">
        <v>135</v>
      </c>
      <c r="C34" s="5" t="s">
        <v>54</v>
      </c>
      <c r="D34" s="8" t="n">
        <f aca="false">SUMIF('Food - All Deliveries'!$A$2:$A$108,B34,'Food - All Deliveries'!$D$2:$D$108)</f>
        <v>250</v>
      </c>
      <c r="E34" s="5" t="n">
        <f aca="false">COUNTIF('Food - All Deliveries'!$A$2:$A$108,B34)</f>
        <v>1</v>
      </c>
      <c r="F34" s="5"/>
    </row>
    <row r="35" customFormat="false" ht="15" hidden="false" customHeight="false" outlineLevel="0" collapsed="false">
      <c r="A35" s="5" t="n">
        <v>34</v>
      </c>
      <c r="B35" s="5" t="s">
        <v>58</v>
      </c>
      <c r="C35" s="5" t="s">
        <v>41</v>
      </c>
      <c r="D35" s="8" t="n">
        <f aca="false">SUMIF('Food - All Deliveries'!$A$2:$A$108,B35,'Food - All Deliveries'!$D$2:$D$108)</f>
        <v>240</v>
      </c>
      <c r="E35" s="5" t="n">
        <f aca="false">COUNTIF('Food - All Deliveries'!$A$2:$A$108,B35)</f>
        <v>1</v>
      </c>
      <c r="F35" s="5"/>
    </row>
    <row r="36" customFormat="false" ht="15" hidden="false" customHeight="false" outlineLevel="0" collapsed="false">
      <c r="A36" s="5" t="n">
        <v>35</v>
      </c>
      <c r="B36" s="5" t="s">
        <v>134</v>
      </c>
      <c r="C36" s="5" t="s">
        <v>54</v>
      </c>
      <c r="D36" s="8" t="n">
        <f aca="false">SUMIF('Food - All Deliveries'!$A$2:$A$108,B36,'Food - All Deliveries'!$D$2:$D$108)</f>
        <v>237</v>
      </c>
      <c r="E36" s="5" t="n">
        <f aca="false">COUNTIF('Food - All Deliveries'!$A$2:$A$108,B36)</f>
        <v>3</v>
      </c>
      <c r="F36" s="5" t="s">
        <v>172</v>
      </c>
    </row>
    <row r="37" customFormat="false" ht="15" hidden="false" customHeight="false" outlineLevel="0" collapsed="false">
      <c r="A37" s="5" t="n">
        <v>36</v>
      </c>
      <c r="B37" s="5" t="s">
        <v>132</v>
      </c>
      <c r="C37" s="5" t="s">
        <v>85</v>
      </c>
      <c r="D37" s="8" t="n">
        <f aca="false">SUMIF('Food - All Deliveries'!$A$2:$A$108,B37,'Food - All Deliveries'!$D$2:$D$108)</f>
        <v>228</v>
      </c>
      <c r="E37" s="5" t="n">
        <f aca="false">COUNTIF('Food - All Deliveries'!$A$2:$A$108,B37)</f>
        <v>2</v>
      </c>
      <c r="F37" s="5" t="s">
        <v>172</v>
      </c>
    </row>
    <row r="38" customFormat="false" ht="15" hidden="false" customHeight="false" outlineLevel="0" collapsed="false">
      <c r="A38" s="5" t="n">
        <v>37</v>
      </c>
      <c r="B38" s="5" t="s">
        <v>119</v>
      </c>
      <c r="C38" s="5" t="s">
        <v>93</v>
      </c>
      <c r="D38" s="8" t="n">
        <f aca="false">SUMIF('Food - All Deliveries'!$A$2:$A$108,B38,'Food - All Deliveries'!$D$2:$D$108)</f>
        <v>200</v>
      </c>
      <c r="E38" s="5" t="n">
        <f aca="false">COUNTIF('Food - All Deliveries'!$A$2:$A$108,B38)</f>
        <v>2</v>
      </c>
      <c r="F38" s="5" t="s">
        <v>172</v>
      </c>
    </row>
    <row r="39" customFormat="false" ht="15" hidden="false" customHeight="false" outlineLevel="0" collapsed="false">
      <c r="A39" s="5" t="n">
        <v>38</v>
      </c>
      <c r="B39" s="5" t="s">
        <v>120</v>
      </c>
      <c r="C39" s="5" t="s">
        <v>122</v>
      </c>
      <c r="D39" s="8" t="n">
        <f aca="false">SUMIF('Food - All Deliveries'!$A$2:$A$108,B39,'Food - All Deliveries'!$D$2:$D$108)</f>
        <v>200</v>
      </c>
      <c r="E39" s="5" t="n">
        <f aca="false">COUNTIF('Food - All Deliveries'!$A$2:$A$108,B39)</f>
        <v>2</v>
      </c>
      <c r="F39" s="5" t="s">
        <v>172</v>
      </c>
    </row>
    <row r="40" customFormat="false" ht="15" hidden="false" customHeight="false" outlineLevel="0" collapsed="false">
      <c r="A40" s="5" t="n">
        <v>39</v>
      </c>
      <c r="B40" s="5" t="s">
        <v>123</v>
      </c>
      <c r="C40" s="5" t="s">
        <v>114</v>
      </c>
      <c r="D40" s="8" t="n">
        <f aca="false">SUMIF('Food - All Deliveries'!$A$2:$A$108,B40,'Food - All Deliveries'!$D$2:$D$108)</f>
        <v>200</v>
      </c>
      <c r="E40" s="5" t="n">
        <f aca="false">COUNTIF('Food - All Deliveries'!$A$2:$A$108,B40)</f>
        <v>2</v>
      </c>
      <c r="F40" s="5" t="s">
        <v>172</v>
      </c>
    </row>
    <row r="41" customFormat="false" ht="15" hidden="false" customHeight="false" outlineLevel="0" collapsed="false">
      <c r="A41" s="5" t="n">
        <v>40</v>
      </c>
      <c r="B41" s="5" t="s">
        <v>124</v>
      </c>
      <c r="C41" s="5" t="s">
        <v>125</v>
      </c>
      <c r="D41" s="8" t="n">
        <f aca="false">SUMIF('Food - All Deliveries'!$A$2:$A$108,B41,'Food - All Deliveries'!$D$2:$D$108)</f>
        <v>200</v>
      </c>
      <c r="E41" s="5" t="n">
        <f aca="false">COUNTIF('Food - All Deliveries'!$A$2:$A$108,B41)</f>
        <v>2</v>
      </c>
      <c r="F41" s="5" t="s">
        <v>172</v>
      </c>
    </row>
    <row r="42" customFormat="false" ht="15" hidden="false" customHeight="false" outlineLevel="0" collapsed="false">
      <c r="A42" s="5" t="n">
        <v>41</v>
      </c>
      <c r="B42" s="5" t="s">
        <v>127</v>
      </c>
      <c r="C42" s="5" t="s">
        <v>113</v>
      </c>
      <c r="D42" s="8" t="n">
        <f aca="false">SUMIF('Food - All Deliveries'!$A$2:$A$108,B42,'Food - All Deliveries'!$D$2:$D$108)</f>
        <v>200</v>
      </c>
      <c r="E42" s="5" t="n">
        <f aca="false">COUNTIF('Food - All Deliveries'!$A$2:$A$108,B42)</f>
        <v>1</v>
      </c>
      <c r="F42" s="5"/>
    </row>
    <row r="43" customFormat="false" ht="15" hidden="false" customHeight="false" outlineLevel="0" collapsed="false">
      <c r="A43" s="5" t="n">
        <v>42</v>
      </c>
      <c r="B43" s="5" t="s">
        <v>137</v>
      </c>
      <c r="C43" s="5" t="s">
        <v>125</v>
      </c>
      <c r="D43" s="8" t="n">
        <f aca="false">SUMIF('Food - All Deliveries'!$A$2:$A$108,B43,'Food - All Deliveries'!$D$2:$D$108)</f>
        <v>190</v>
      </c>
      <c r="E43" s="5" t="n">
        <f aca="false">COUNTIF('Food - All Deliveries'!$A$2:$A$108,B43)</f>
        <v>2</v>
      </c>
      <c r="F43" s="5" t="s">
        <v>172</v>
      </c>
    </row>
    <row r="44" customFormat="false" ht="15" hidden="false" customHeight="false" outlineLevel="0" collapsed="false">
      <c r="A44" s="5" t="n">
        <v>43</v>
      </c>
      <c r="B44" s="5" t="s">
        <v>143</v>
      </c>
      <c r="C44" s="5" t="s">
        <v>85</v>
      </c>
      <c r="D44" s="8" t="n">
        <f aca="false">SUMIF('Food - All Deliveries'!$A$2:$A$108,B44,'Food - All Deliveries'!$D$2:$D$108)</f>
        <v>170</v>
      </c>
      <c r="E44" s="5" t="n">
        <f aca="false">COUNTIF('Food - All Deliveries'!$A$2:$A$108,B44)</f>
        <v>1</v>
      </c>
      <c r="F44" s="5"/>
    </row>
    <row r="45" customFormat="false" ht="15" hidden="false" customHeight="false" outlineLevel="0" collapsed="false">
      <c r="A45" s="5" t="n">
        <v>44</v>
      </c>
      <c r="B45" s="5" t="s">
        <v>108</v>
      </c>
      <c r="C45" s="5" t="s">
        <v>108</v>
      </c>
      <c r="D45" s="8" t="n">
        <f aca="false">SUMIF('Food - All Deliveries'!$A$2:$A$108,B45,'Food - All Deliveries'!$D$2:$D$108)</f>
        <v>150</v>
      </c>
      <c r="E45" s="5" t="n">
        <f aca="false">COUNTIF('Food - All Deliveries'!$A$2:$A$108,B45)</f>
        <v>1</v>
      </c>
      <c r="F45" s="5"/>
    </row>
    <row r="46" customFormat="false" ht="15" hidden="false" customHeight="false" outlineLevel="0" collapsed="false">
      <c r="A46" s="5" t="n">
        <v>45</v>
      </c>
      <c r="B46" s="5" t="s">
        <v>110</v>
      </c>
      <c r="C46" s="5" t="s">
        <v>111</v>
      </c>
      <c r="D46" s="8" t="n">
        <f aca="false">SUMIF('Food - All Deliveries'!$A$2:$A$108,B46,'Food - All Deliveries'!$D$2:$D$108)</f>
        <v>150</v>
      </c>
      <c r="E46" s="5" t="n">
        <f aca="false">COUNTIF('Food - All Deliveries'!$A$2:$A$108,B46)</f>
        <v>1</v>
      </c>
      <c r="F46" s="5"/>
    </row>
    <row r="47" customFormat="false" ht="15" hidden="false" customHeight="false" outlineLevel="0" collapsed="false">
      <c r="A47" s="5" t="n">
        <v>46</v>
      </c>
      <c r="B47" s="5" t="s">
        <v>142</v>
      </c>
      <c r="C47" s="5" t="s">
        <v>49</v>
      </c>
      <c r="D47" s="8" t="n">
        <f aca="false">SUMIF('Food - All Deliveries'!$A$2:$A$108,B47,'Food - All Deliveries'!$D$2:$D$108)</f>
        <v>150</v>
      </c>
      <c r="E47" s="5" t="n">
        <f aca="false">COUNTIF('Food - All Deliveries'!$A$2:$A$108,B47)</f>
        <v>1</v>
      </c>
      <c r="F47" s="5"/>
    </row>
    <row r="48" customFormat="false" ht="15" hidden="false" customHeight="false" outlineLevel="0" collapsed="false">
      <c r="A48" s="5" t="n">
        <v>47</v>
      </c>
      <c r="B48" s="5" t="s">
        <v>146</v>
      </c>
      <c r="C48" s="5" t="s">
        <v>85</v>
      </c>
      <c r="D48" s="8" t="n">
        <f aca="false">SUMIF('Food - All Deliveries'!$A$2:$A$108,B48,'Food - All Deliveries'!$D$2:$D$108)</f>
        <v>150</v>
      </c>
      <c r="E48" s="5" t="n">
        <f aca="false">COUNTIF('Food - All Deliveries'!$A$2:$A$108,B48)</f>
        <v>1</v>
      </c>
      <c r="F48" s="5"/>
    </row>
    <row r="49" customFormat="false" ht="15" hidden="false" customHeight="false" outlineLevel="0" collapsed="false">
      <c r="A49" s="5" t="n">
        <v>48</v>
      </c>
      <c r="B49" s="5" t="s">
        <v>153</v>
      </c>
      <c r="C49" s="5" t="s">
        <v>85</v>
      </c>
      <c r="D49" s="8" t="n">
        <f aca="false">SUMIF('Food - All Deliveries'!$A$2:$A$108,B49,'Food - All Deliveries'!$D$2:$D$108)</f>
        <v>150</v>
      </c>
      <c r="E49" s="5" t="n">
        <f aca="false">COUNTIF('Food - All Deliveries'!$A$2:$A$108,B49)</f>
        <v>1</v>
      </c>
      <c r="F49" s="5"/>
    </row>
    <row r="50" customFormat="false" ht="15" hidden="false" customHeight="false" outlineLevel="0" collapsed="false">
      <c r="A50" s="5" t="n">
        <v>49</v>
      </c>
      <c r="B50" s="5" t="s">
        <v>151</v>
      </c>
      <c r="C50" s="5" t="s">
        <v>93</v>
      </c>
      <c r="D50" s="8" t="n">
        <f aca="false">SUMIF('Food - All Deliveries'!$A$2:$A$108,B50,'Food - All Deliveries'!$D$2:$D$108)</f>
        <v>130</v>
      </c>
      <c r="E50" s="5" t="n">
        <f aca="false">COUNTIF('Food - All Deliveries'!$A$2:$A$108,B50)</f>
        <v>1</v>
      </c>
      <c r="F50" s="5"/>
    </row>
    <row r="51" customFormat="false" ht="15" hidden="false" customHeight="false" outlineLevel="0" collapsed="false">
      <c r="A51" s="5" t="n">
        <v>50</v>
      </c>
      <c r="B51" s="5" t="s">
        <v>102</v>
      </c>
      <c r="C51" s="5" t="s">
        <v>75</v>
      </c>
      <c r="D51" s="8" t="n">
        <f aca="false">SUMIF('Food - All Deliveries'!$A$2:$A$108,B51,'Food - All Deliveries'!$D$2:$D$108)</f>
        <v>128</v>
      </c>
      <c r="E51" s="5" t="n">
        <f aca="false">COUNTIF('Food - All Deliveries'!$A$2:$A$108,B51)</f>
        <v>1</v>
      </c>
      <c r="F51" s="5"/>
    </row>
    <row r="52" customFormat="false" ht="15" hidden="false" customHeight="false" outlineLevel="0" collapsed="false">
      <c r="A52" s="5" t="n">
        <v>51</v>
      </c>
      <c r="B52" s="5" t="s">
        <v>147</v>
      </c>
      <c r="C52" s="5" t="s">
        <v>54</v>
      </c>
      <c r="D52" s="8" t="n">
        <f aca="false">SUMIF('Food - All Deliveries'!$A$2:$A$108,B52,'Food - All Deliveries'!$D$2:$D$108)</f>
        <v>126</v>
      </c>
      <c r="E52" s="5" t="n">
        <f aca="false">COUNTIF('Food - All Deliveries'!$A$2:$A$108,B52)</f>
        <v>2</v>
      </c>
      <c r="F52" s="5" t="s">
        <v>172</v>
      </c>
    </row>
    <row r="53" customFormat="false" ht="15" hidden="false" customHeight="false" outlineLevel="0" collapsed="false">
      <c r="A53" s="5" t="n">
        <v>52</v>
      </c>
      <c r="B53" s="5" t="s">
        <v>160</v>
      </c>
      <c r="C53" s="5" t="s">
        <v>41</v>
      </c>
      <c r="D53" s="8" t="n">
        <f aca="false">SUMIF('Food - All Deliveries'!$A$2:$A$108,B53,'Food - All Deliveries'!$D$2:$D$108)</f>
        <v>126</v>
      </c>
      <c r="E53" s="5" t="n">
        <f aca="false">COUNTIF('Food - All Deliveries'!$A$2:$A$108,B53)</f>
        <v>1</v>
      </c>
      <c r="F53" s="5"/>
    </row>
    <row r="54" customFormat="false" ht="15" hidden="false" customHeight="false" outlineLevel="0" collapsed="false">
      <c r="A54" s="5" t="n">
        <v>53</v>
      </c>
      <c r="B54" s="5" t="s">
        <v>91</v>
      </c>
      <c r="C54" s="5" t="s">
        <v>93</v>
      </c>
      <c r="D54" s="8" t="n">
        <f aca="false">SUMIF('Food - All Deliveries'!$A$2:$A$108,B54,'Food - All Deliveries'!$D$2:$D$108)</f>
        <v>125</v>
      </c>
      <c r="E54" s="5" t="n">
        <f aca="false">COUNTIF('Food - All Deliveries'!$A$2:$A$108,B54)</f>
        <v>1</v>
      </c>
      <c r="F54" s="5"/>
    </row>
    <row r="55" customFormat="false" ht="15" hidden="false" customHeight="false" outlineLevel="0" collapsed="false">
      <c r="A55" s="5" t="n">
        <v>54</v>
      </c>
      <c r="B55" s="5" t="s">
        <v>138</v>
      </c>
      <c r="C55" s="5" t="s">
        <v>105</v>
      </c>
      <c r="D55" s="8" t="n">
        <f aca="false">SUMIF('Food - All Deliveries'!$A$2:$A$108,B55,'Food - All Deliveries'!$D$2:$D$108)</f>
        <v>120</v>
      </c>
      <c r="E55" s="5" t="n">
        <f aca="false">COUNTIF('Food - All Deliveries'!$A$2:$A$108,B55)</f>
        <v>1</v>
      </c>
      <c r="F55" s="5"/>
    </row>
    <row r="56" customFormat="false" ht="15" hidden="false" customHeight="false" outlineLevel="0" collapsed="false">
      <c r="A56" s="5" t="n">
        <v>55</v>
      </c>
      <c r="B56" s="5" t="s">
        <v>141</v>
      </c>
      <c r="C56" s="5" t="s">
        <v>113</v>
      </c>
      <c r="D56" s="8" t="n">
        <f aca="false">SUMIF('Food - All Deliveries'!$A$2:$A$108,B56,'Food - All Deliveries'!$D$2:$D$108)</f>
        <v>120</v>
      </c>
      <c r="E56" s="5" t="n">
        <f aca="false">COUNTIF('Food - All Deliveries'!$A$2:$A$108,B56)</f>
        <v>1</v>
      </c>
      <c r="F56" s="5"/>
    </row>
    <row r="57" customFormat="false" ht="15" hidden="false" customHeight="false" outlineLevel="0" collapsed="false">
      <c r="A57" s="5" t="n">
        <v>56</v>
      </c>
      <c r="B57" s="5" t="s">
        <v>128</v>
      </c>
      <c r="C57" s="5" t="s">
        <v>130</v>
      </c>
      <c r="D57" s="8" t="n">
        <f aca="false">SUMIF('Food - All Deliveries'!$A$2:$A$108,B57,'Food - All Deliveries'!$D$2:$D$108)</f>
        <v>105</v>
      </c>
      <c r="E57" s="5" t="n">
        <f aca="false">COUNTIF('Food - All Deliveries'!$A$2:$A$108,B57)</f>
        <v>1</v>
      </c>
      <c r="F57" s="5"/>
    </row>
    <row r="58" customFormat="false" ht="15" hidden="false" customHeight="false" outlineLevel="0" collapsed="false">
      <c r="A58" s="5" t="n">
        <v>57</v>
      </c>
      <c r="B58" s="5" t="s">
        <v>140</v>
      </c>
      <c r="C58" s="5" t="s">
        <v>41</v>
      </c>
      <c r="D58" s="8" t="n">
        <f aca="false">SUMIF('Food - All Deliveries'!$A$2:$A$108,B58,'Food - All Deliveries'!$D$2:$D$108)</f>
        <v>80</v>
      </c>
      <c r="E58" s="5" t="n">
        <f aca="false">COUNTIF('Food - All Deliveries'!$A$2:$A$108,B58)</f>
        <v>1</v>
      </c>
      <c r="F58" s="5"/>
    </row>
    <row r="59" customFormat="false" ht="15" hidden="false" customHeight="false" outlineLevel="0" collapsed="false">
      <c r="A59" s="5" t="n">
        <v>58</v>
      </c>
      <c r="B59" s="5" t="s">
        <v>145</v>
      </c>
      <c r="C59" s="5" t="s">
        <v>85</v>
      </c>
      <c r="D59" s="8" t="n">
        <f aca="false">SUMIF('Food - All Deliveries'!$A$2:$A$108,B59,'Food - All Deliveries'!$D$2:$D$108)</f>
        <v>70</v>
      </c>
      <c r="E59" s="5" t="n">
        <f aca="false">COUNTIF('Food - All Deliveries'!$A$2:$A$108,B59)</f>
        <v>2</v>
      </c>
      <c r="F59" s="5" t="s">
        <v>172</v>
      </c>
    </row>
    <row r="60" customFormat="false" ht="15" hidden="false" customHeight="false" outlineLevel="0" collapsed="false">
      <c r="A60" s="5" t="n">
        <v>59</v>
      </c>
      <c r="B60" s="5" t="s">
        <v>158</v>
      </c>
      <c r="C60" s="5" t="s">
        <v>75</v>
      </c>
      <c r="D60" s="8" t="n">
        <f aca="false">SUMIF('Food - All Deliveries'!$A$2:$A$108,B60,'Food - All Deliveries'!$D$2:$D$108)</f>
        <v>50</v>
      </c>
      <c r="E60" s="5" t="n">
        <f aca="false">COUNTIF('Food - All Deliveries'!$A$2:$A$108,B60)</f>
        <v>1</v>
      </c>
      <c r="F60" s="5"/>
    </row>
    <row r="61" customFormat="false" ht="15" hidden="false" customHeight="false" outlineLevel="0" collapsed="false">
      <c r="A61" s="5" t="n">
        <v>60</v>
      </c>
      <c r="B61" s="5" t="s">
        <v>130</v>
      </c>
      <c r="C61" s="5" t="s">
        <v>130</v>
      </c>
      <c r="D61" s="8" t="n">
        <f aca="false">SUMIF('Food - All Deliveries'!$A$2:$A$108,B61,'Food - All Deliveries'!$D$2:$D$108)</f>
        <v>47</v>
      </c>
      <c r="E61" s="5" t="n">
        <f aca="false">COUNTIF('Food - All Deliveries'!$A$2:$A$108,B61)</f>
        <v>1</v>
      </c>
      <c r="F61" s="5" t="s">
        <v>173</v>
      </c>
    </row>
    <row r="62" customFormat="false" ht="15" hidden="false" customHeight="false" outlineLevel="0" collapsed="false">
      <c r="A62" s="5" t="n">
        <v>61</v>
      </c>
      <c r="B62" s="5" t="s">
        <v>150</v>
      </c>
      <c r="C62" s="5" t="s">
        <v>93</v>
      </c>
      <c r="D62" s="8" t="n">
        <f aca="false">SUMIF('Food - All Deliveries'!$A$2:$A$108,B62,'Food - All Deliveries'!$D$2:$D$108)</f>
        <v>30</v>
      </c>
      <c r="E62" s="5" t="n">
        <f aca="false">COUNTIF('Food - All Deliveries'!$A$2:$A$108,B62)</f>
        <v>2</v>
      </c>
      <c r="F62" s="5" t="s">
        <v>172</v>
      </c>
    </row>
    <row r="63" customFormat="false" ht="15" hidden="false" customHeight="false" outlineLevel="0" collapsed="false">
      <c r="A63" s="5" t="n">
        <v>62</v>
      </c>
      <c r="B63" s="5" t="s">
        <v>149</v>
      </c>
      <c r="C63" s="5" t="s">
        <v>93</v>
      </c>
      <c r="D63" s="8" t="n">
        <f aca="false">SUMIF('Food - All Deliveries'!$A$2:$A$108,B63,'Food - All Deliveries'!$D$2:$D$108)</f>
        <v>25</v>
      </c>
      <c r="E63" s="5" t="n">
        <f aca="false">COUNTIF('Food - All Deliveries'!$A$2:$A$108,B63)</f>
        <v>1</v>
      </c>
      <c r="F63" s="5" t="s">
        <v>173</v>
      </c>
    </row>
    <row r="64" customFormat="false" ht="15" hidden="false" customHeight="false" outlineLevel="0" collapsed="false">
      <c r="A64" s="5" t="n">
        <v>63</v>
      </c>
      <c r="B64" s="5" t="s">
        <v>152</v>
      </c>
      <c r="C64" s="5" t="s">
        <v>93</v>
      </c>
      <c r="D64" s="8" t="n">
        <f aca="false">SUMIF('Food - All Deliveries'!$A$2:$A$108,B64,'Food - All Deliveries'!$D$2:$D$108)</f>
        <v>12</v>
      </c>
      <c r="E64" s="5" t="n">
        <f aca="false">COUNTIF('Food - All Deliveries'!$A$2:$A$108,B64)</f>
        <v>1</v>
      </c>
      <c r="F64" s="5" t="s">
        <v>173</v>
      </c>
    </row>
  </sheetData>
  <autoFilter ref="A1:F64"/>
  <conditionalFormatting sqref="D2:D64">
    <cfRule type="colorScale" priority="2">
      <colorScale>
        <cfvo type="min" val="0"/>
        <cfvo type="max" val="0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0" t="s">
        <v>175</v>
      </c>
    </row>
    <row r="4" customFormat="false" ht="19.5" hidden="false" customHeight="true" outlineLevel="0" collapsed="false">
      <c r="A4" s="21" t="s">
        <v>176</v>
      </c>
      <c r="B4" s="21" t="s">
        <v>177</v>
      </c>
      <c r="C4" s="21" t="s">
        <v>178</v>
      </c>
    </row>
    <row r="5" customFormat="false" ht="15" hidden="false" customHeight="false" outlineLevel="0" collapsed="false">
      <c r="A5" s="5" t="s">
        <v>179</v>
      </c>
      <c r="B5" s="15" t="n">
        <v>1</v>
      </c>
      <c r="C5" s="5" t="s">
        <v>180</v>
      </c>
    </row>
    <row r="6" customFormat="false" ht="15" hidden="false" customHeight="false" outlineLevel="0" collapsed="false">
      <c r="A6" s="5" t="s">
        <v>181</v>
      </c>
      <c r="B6" s="15" t="n">
        <v>8</v>
      </c>
      <c r="C6" s="5" t="s">
        <v>182</v>
      </c>
    </row>
    <row r="7" customFormat="false" ht="15" hidden="false" customHeight="false" outlineLevel="0" collapsed="false">
      <c r="A7" s="5" t="s">
        <v>183</v>
      </c>
      <c r="B7" s="15" t="n">
        <v>2</v>
      </c>
      <c r="C7" s="5" t="s">
        <v>184</v>
      </c>
    </row>
    <row r="8" customFormat="false" ht="15" hidden="false" customHeight="false" outlineLevel="0" collapsed="false">
      <c r="A8" s="5" t="s">
        <v>185</v>
      </c>
      <c r="B8" s="15" t="n">
        <v>1</v>
      </c>
      <c r="C8" s="5" t="s">
        <v>186</v>
      </c>
    </row>
    <row r="10" customFormat="false" ht="15" hidden="false" customHeight="false" outlineLevel="0" collapsed="false">
      <c r="A10" s="12" t="s">
        <v>187</v>
      </c>
      <c r="B10" s="22" t="n">
        <v>5400</v>
      </c>
    </row>
    <row r="11" customFormat="false" ht="15" hidden="false" customHeight="false" outlineLevel="0" collapsed="false">
      <c r="A11" s="12" t="s">
        <v>188</v>
      </c>
      <c r="B11" s="23" t="n">
        <v>18</v>
      </c>
    </row>
    <row r="12" customFormat="false" ht="15" hidden="false" customHeight="false" outlineLevel="0" collapsed="false">
      <c r="A12" s="12" t="s">
        <v>189</v>
      </c>
      <c r="B12" s="20" t="s">
        <v>190</v>
      </c>
    </row>
    <row r="14" customFormat="false" ht="30" hidden="false" customHeight="true" outlineLevel="0" collapsed="false">
      <c r="A14" s="12" t="s">
        <v>191</v>
      </c>
      <c r="C14" s="2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21" t="s">
        <v>167</v>
      </c>
      <c r="B1" s="21" t="s">
        <v>193</v>
      </c>
      <c r="C1" s="21" t="s">
        <v>37</v>
      </c>
      <c r="D1" s="21" t="s">
        <v>194</v>
      </c>
      <c r="E1" s="21" t="s">
        <v>195</v>
      </c>
      <c r="F1" s="21" t="s">
        <v>181</v>
      </c>
      <c r="G1" s="21" t="s">
        <v>183</v>
      </c>
      <c r="H1" s="21" t="s">
        <v>196</v>
      </c>
      <c r="I1" s="21" t="s">
        <v>197</v>
      </c>
    </row>
    <row r="2" customFormat="false" ht="15" hidden="false" customHeight="false" outlineLevel="0" collapsed="false">
      <c r="A2" s="5" t="n">
        <v>1</v>
      </c>
      <c r="B2" s="5" t="s">
        <v>198</v>
      </c>
      <c r="C2" s="5" t="s">
        <v>199</v>
      </c>
      <c r="D2" s="6" t="n">
        <v>375</v>
      </c>
      <c r="E2" s="8" t="n">
        <f aca="false">D2*'Education - How ESSP Works'!$B$5</f>
        <v>375</v>
      </c>
      <c r="F2" s="8" t="n">
        <f aca="false">D2*'Education - How ESSP Works'!$B$6</f>
        <v>3000</v>
      </c>
      <c r="G2" s="8" t="n">
        <f aca="false">D2*'Education - How ESSP Works'!$B$7</f>
        <v>750</v>
      </c>
      <c r="H2" s="8" t="n">
        <f aca="false">D2*'Education - How ESSP Works'!$B$8</f>
        <v>375</v>
      </c>
      <c r="I2" s="8" t="n">
        <f aca="false">D2*'Education - How ESSP Works'!$B$10</f>
        <v>2025000</v>
      </c>
    </row>
    <row r="3" customFormat="false" ht="15" hidden="false" customHeight="false" outlineLevel="0" collapsed="false">
      <c r="A3" s="5" t="n">
        <v>2</v>
      </c>
      <c r="B3" s="5" t="s">
        <v>200</v>
      </c>
      <c r="C3" s="5" t="s">
        <v>82</v>
      </c>
      <c r="D3" s="6" t="n">
        <v>348</v>
      </c>
      <c r="E3" s="8" t="n">
        <f aca="false">D3*'Education - How ESSP Works'!$B$5</f>
        <v>348</v>
      </c>
      <c r="F3" s="8" t="n">
        <f aca="false">D3*'Education - How ESSP Works'!$B$6</f>
        <v>2784</v>
      </c>
      <c r="G3" s="8" t="n">
        <f aca="false">D3*'Education - How ESSP Works'!$B$7</f>
        <v>696</v>
      </c>
      <c r="H3" s="8" t="n">
        <f aca="false">D3*'Education - How ESSP Works'!$B$8</f>
        <v>348</v>
      </c>
      <c r="I3" s="8" t="n">
        <f aca="false">D3*'Education - How ESSP Works'!$B$10</f>
        <v>1879200</v>
      </c>
    </row>
    <row r="4" customFormat="false" ht="15" hidden="false" customHeight="false" outlineLevel="0" collapsed="false">
      <c r="A4" s="5" t="n">
        <v>3</v>
      </c>
      <c r="B4" s="5" t="s">
        <v>201</v>
      </c>
      <c r="C4" s="5" t="s">
        <v>105</v>
      </c>
      <c r="D4" s="6" t="n">
        <v>282</v>
      </c>
      <c r="E4" s="8" t="n">
        <f aca="false">D4*'Education - How ESSP Works'!$B$5</f>
        <v>282</v>
      </c>
      <c r="F4" s="8" t="n">
        <f aca="false">D4*'Education - How ESSP Works'!$B$6</f>
        <v>2256</v>
      </c>
      <c r="G4" s="8" t="n">
        <f aca="false">D4*'Education - How ESSP Works'!$B$7</f>
        <v>564</v>
      </c>
      <c r="H4" s="8" t="n">
        <f aca="false">D4*'Education - How ESSP Works'!$B$8</f>
        <v>282</v>
      </c>
      <c r="I4" s="8" t="n">
        <f aca="false">D4*'Education - How ESSP Works'!$B$10</f>
        <v>1522800</v>
      </c>
    </row>
    <row r="5" customFormat="false" ht="15" hidden="false" customHeight="false" outlineLevel="0" collapsed="false">
      <c r="A5" s="5" t="n">
        <v>4</v>
      </c>
      <c r="B5" s="5" t="s">
        <v>202</v>
      </c>
      <c r="C5" s="5" t="s">
        <v>114</v>
      </c>
      <c r="D5" s="6" t="n">
        <v>270</v>
      </c>
      <c r="E5" s="8" t="n">
        <f aca="false">D5*'Education - How ESSP Works'!$B$5</f>
        <v>270</v>
      </c>
      <c r="F5" s="8" t="n">
        <f aca="false">D5*'Education - How ESSP Works'!$B$6</f>
        <v>2160</v>
      </c>
      <c r="G5" s="8" t="n">
        <f aca="false">D5*'Education - How ESSP Works'!$B$7</f>
        <v>540</v>
      </c>
      <c r="H5" s="8" t="n">
        <f aca="false">D5*'Education - How ESSP Works'!$B$8</f>
        <v>270</v>
      </c>
      <c r="I5" s="8" t="n">
        <f aca="false">D5*'Education - How ESSP Works'!$B$10</f>
        <v>1458000</v>
      </c>
    </row>
    <row r="6" customFormat="false" ht="15" hidden="false" customHeight="false" outlineLevel="0" collapsed="false">
      <c r="A6" s="5" t="n">
        <v>5</v>
      </c>
      <c r="B6" s="5" t="s">
        <v>203</v>
      </c>
      <c r="C6" s="5" t="s">
        <v>67</v>
      </c>
      <c r="D6" s="6" t="n">
        <v>260</v>
      </c>
      <c r="E6" s="8" t="n">
        <f aca="false">D6*'Education - How ESSP Works'!$B$5</f>
        <v>260</v>
      </c>
      <c r="F6" s="8" t="n">
        <f aca="false">D6*'Education - How ESSP Works'!$B$6</f>
        <v>2080</v>
      </c>
      <c r="G6" s="8" t="n">
        <f aca="false">D6*'Education - How ESSP Works'!$B$7</f>
        <v>520</v>
      </c>
      <c r="H6" s="8" t="n">
        <f aca="false">D6*'Education - How ESSP Works'!$B$8</f>
        <v>260</v>
      </c>
      <c r="I6" s="8" t="n">
        <f aca="false">D6*'Education - How ESSP Works'!$B$10</f>
        <v>1404000</v>
      </c>
    </row>
    <row r="7" customFormat="false" ht="15" hidden="false" customHeight="false" outlineLevel="0" collapsed="false">
      <c r="A7" s="5" t="n">
        <v>6</v>
      </c>
      <c r="B7" s="5" t="s">
        <v>204</v>
      </c>
      <c r="C7" s="5" t="s">
        <v>49</v>
      </c>
      <c r="D7" s="6" t="n">
        <v>252</v>
      </c>
      <c r="E7" s="8" t="n">
        <f aca="false">D7*'Education - How ESSP Works'!$B$5</f>
        <v>252</v>
      </c>
      <c r="F7" s="8" t="n">
        <f aca="false">D7*'Education - How ESSP Works'!$B$6</f>
        <v>2016</v>
      </c>
      <c r="G7" s="8" t="n">
        <f aca="false">D7*'Education - How ESSP Works'!$B$7</f>
        <v>504</v>
      </c>
      <c r="H7" s="8" t="n">
        <f aca="false">D7*'Education - How ESSP Works'!$B$8</f>
        <v>252</v>
      </c>
      <c r="I7" s="8" t="n">
        <f aca="false">D7*'Education - How ESSP Works'!$B$10</f>
        <v>1360800</v>
      </c>
    </row>
    <row r="8" customFormat="false" ht="15" hidden="false" customHeight="false" outlineLevel="0" collapsed="false">
      <c r="A8" s="5" t="n">
        <v>7</v>
      </c>
      <c r="B8" s="5" t="s">
        <v>205</v>
      </c>
      <c r="C8" s="5" t="s">
        <v>75</v>
      </c>
      <c r="D8" s="6" t="n">
        <v>247</v>
      </c>
      <c r="E8" s="8" t="n">
        <f aca="false">D8*'Education - How ESSP Works'!$B$5</f>
        <v>247</v>
      </c>
      <c r="F8" s="8" t="n">
        <f aca="false">D8*'Education - How ESSP Works'!$B$6</f>
        <v>1976</v>
      </c>
      <c r="G8" s="8" t="n">
        <f aca="false">D8*'Education - How ESSP Works'!$B$7</f>
        <v>494</v>
      </c>
      <c r="H8" s="8" t="n">
        <f aca="false">D8*'Education - How ESSP Works'!$B$8</f>
        <v>247</v>
      </c>
      <c r="I8" s="8" t="n">
        <f aca="false">D8*'Education - How ESSP Works'!$B$10</f>
        <v>1333800</v>
      </c>
    </row>
    <row r="9" customFormat="false" ht="15" hidden="false" customHeight="false" outlineLevel="0" collapsed="false">
      <c r="A9" s="5" t="n">
        <v>8</v>
      </c>
      <c r="B9" s="5" t="s">
        <v>206</v>
      </c>
      <c r="C9" s="5" t="s">
        <v>108</v>
      </c>
      <c r="D9" s="6" t="n">
        <v>192</v>
      </c>
      <c r="E9" s="8" t="n">
        <f aca="false">D9*'Education - How ESSP Works'!$B$5</f>
        <v>192</v>
      </c>
      <c r="F9" s="8" t="n">
        <f aca="false">D9*'Education - How ESSP Works'!$B$6</f>
        <v>1536</v>
      </c>
      <c r="G9" s="8" t="n">
        <f aca="false">D9*'Education - How ESSP Works'!$B$7</f>
        <v>384</v>
      </c>
      <c r="H9" s="8" t="n">
        <f aca="false">D9*'Education - How ESSP Works'!$B$8</f>
        <v>192</v>
      </c>
      <c r="I9" s="8" t="n">
        <f aca="false">D9*'Education - How ESSP Works'!$B$10</f>
        <v>1036800</v>
      </c>
    </row>
    <row r="10" customFormat="false" ht="15" hidden="false" customHeight="false" outlineLevel="0" collapsed="false">
      <c r="A10" s="5" t="n">
        <v>9</v>
      </c>
      <c r="B10" s="5" t="s">
        <v>207</v>
      </c>
      <c r="C10" s="5" t="s">
        <v>41</v>
      </c>
      <c r="D10" s="6" t="n">
        <v>167</v>
      </c>
      <c r="E10" s="8" t="n">
        <f aca="false">D10*'Education - How ESSP Works'!$B$5</f>
        <v>167</v>
      </c>
      <c r="F10" s="8" t="n">
        <f aca="false">D10*'Education - How ESSP Works'!$B$6</f>
        <v>1336</v>
      </c>
      <c r="G10" s="8" t="n">
        <f aca="false">D10*'Education - How ESSP Works'!$B$7</f>
        <v>334</v>
      </c>
      <c r="H10" s="8" t="n">
        <f aca="false">D10*'Education - How ESSP Works'!$B$8</f>
        <v>167</v>
      </c>
      <c r="I10" s="8" t="n">
        <f aca="false">D10*'Education - How ESSP Works'!$B$10</f>
        <v>901800</v>
      </c>
    </row>
    <row r="11" customFormat="false" ht="15" hidden="false" customHeight="false" outlineLevel="0" collapsed="false">
      <c r="A11" s="5" t="n">
        <v>10</v>
      </c>
      <c r="B11" s="5" t="s">
        <v>208</v>
      </c>
      <c r="C11" s="5" t="s">
        <v>62</v>
      </c>
      <c r="D11" s="6" t="n">
        <v>150</v>
      </c>
      <c r="E11" s="8" t="n">
        <f aca="false">D11*'Education - How ESSP Works'!$B$5</f>
        <v>150</v>
      </c>
      <c r="F11" s="8" t="n">
        <f aca="false">D11*'Education - How ESSP Works'!$B$6</f>
        <v>1200</v>
      </c>
      <c r="G11" s="8" t="n">
        <f aca="false">D11*'Education - How ESSP Works'!$B$7</f>
        <v>300</v>
      </c>
      <c r="H11" s="8" t="n">
        <f aca="false">D11*'Education - How ESSP Works'!$B$8</f>
        <v>150</v>
      </c>
      <c r="I11" s="8" t="n">
        <f aca="false">D11*'Education - How ESSP Works'!$B$10</f>
        <v>810000</v>
      </c>
    </row>
    <row r="12" customFormat="false" ht="15" hidden="false" customHeight="false" outlineLevel="0" collapsed="false">
      <c r="A12" s="5" t="n">
        <v>11</v>
      </c>
      <c r="B12" s="5" t="s">
        <v>209</v>
      </c>
      <c r="C12" s="5" t="s">
        <v>82</v>
      </c>
      <c r="D12" s="6" t="n">
        <v>150</v>
      </c>
      <c r="E12" s="8" t="n">
        <f aca="false">D12*'Education - How ESSP Works'!$B$5</f>
        <v>150</v>
      </c>
      <c r="F12" s="8" t="n">
        <f aca="false">D12*'Education - How ESSP Works'!$B$6</f>
        <v>1200</v>
      </c>
      <c r="G12" s="8" t="n">
        <f aca="false">D12*'Education - How ESSP Works'!$B$7</f>
        <v>300</v>
      </c>
      <c r="H12" s="8" t="n">
        <f aca="false">D12*'Education - How ESSP Works'!$B$8</f>
        <v>150</v>
      </c>
      <c r="I12" s="8" t="n">
        <f aca="false">D12*'Education - How ESSP Works'!$B$10</f>
        <v>810000</v>
      </c>
    </row>
    <row r="13" customFormat="false" ht="15" hidden="false" customHeight="false" outlineLevel="0" collapsed="false">
      <c r="A13" s="5" t="n">
        <v>12</v>
      </c>
      <c r="B13" s="5" t="s">
        <v>210</v>
      </c>
      <c r="C13" s="5" t="s">
        <v>54</v>
      </c>
      <c r="D13" s="6" t="n">
        <v>100</v>
      </c>
      <c r="E13" s="8" t="n">
        <f aca="false">D13*'Education - How ESSP Works'!$B$5</f>
        <v>100</v>
      </c>
      <c r="F13" s="8" t="n">
        <f aca="false">D13*'Education - How ESSP Works'!$B$6</f>
        <v>800</v>
      </c>
      <c r="G13" s="8" t="n">
        <f aca="false">D13*'Education - How ESSP Works'!$B$7</f>
        <v>200</v>
      </c>
      <c r="H13" s="8" t="n">
        <f aca="false">D13*'Education - How ESSP Works'!$B$8</f>
        <v>100</v>
      </c>
      <c r="I13" s="8" t="n">
        <f aca="false">D13*'Education - How ESSP Works'!$B$10</f>
        <v>540000</v>
      </c>
    </row>
    <row r="14" customFormat="false" ht="15" hidden="false" customHeight="false" outlineLevel="0" collapsed="false">
      <c r="A14" s="5" t="n">
        <v>13</v>
      </c>
      <c r="B14" s="5" t="s">
        <v>211</v>
      </c>
      <c r="C14" s="5" t="s">
        <v>199</v>
      </c>
      <c r="D14" s="6" t="n">
        <v>96</v>
      </c>
      <c r="E14" s="8" t="n">
        <f aca="false">D14*'Education - How ESSP Works'!$B$5</f>
        <v>96</v>
      </c>
      <c r="F14" s="8" t="n">
        <f aca="false">D14*'Education - How ESSP Works'!$B$6</f>
        <v>768</v>
      </c>
      <c r="G14" s="8" t="n">
        <f aca="false">D14*'Education - How ESSP Works'!$B$7</f>
        <v>192</v>
      </c>
      <c r="H14" s="8" t="n">
        <f aca="false">D14*'Education - How ESSP Works'!$B$8</f>
        <v>96</v>
      </c>
      <c r="I14" s="8" t="n">
        <f aca="false">D14*'Education - How ESSP Works'!$B$10</f>
        <v>518400</v>
      </c>
    </row>
    <row r="15" customFormat="false" ht="15" hidden="false" customHeight="false" outlineLevel="0" collapsed="false">
      <c r="A15" s="5" t="n">
        <v>14</v>
      </c>
      <c r="B15" s="5" t="s">
        <v>212</v>
      </c>
      <c r="C15" s="5" t="s">
        <v>70</v>
      </c>
      <c r="D15" s="6" t="n">
        <v>91</v>
      </c>
      <c r="E15" s="8" t="n">
        <f aca="false">D15*'Education - How ESSP Works'!$B$5</f>
        <v>91</v>
      </c>
      <c r="F15" s="8" t="n">
        <f aca="false">D15*'Education - How ESSP Works'!$B$6</f>
        <v>728</v>
      </c>
      <c r="G15" s="8" t="n">
        <f aca="false">D15*'Education - How ESSP Works'!$B$7</f>
        <v>182</v>
      </c>
      <c r="H15" s="8" t="n">
        <f aca="false">D15*'Education - How ESSP Works'!$B$8</f>
        <v>91</v>
      </c>
      <c r="I15" s="8" t="n">
        <f aca="false">D15*'Education - How ESSP Works'!$B$10</f>
        <v>491400</v>
      </c>
    </row>
    <row r="16" customFormat="false" ht="15" hidden="false" customHeight="false" outlineLevel="0" collapsed="false">
      <c r="A16" s="5" t="n">
        <v>15</v>
      </c>
      <c r="B16" s="5" t="s">
        <v>213</v>
      </c>
      <c r="C16" s="5" t="s">
        <v>214</v>
      </c>
      <c r="D16" s="6" t="n">
        <v>75</v>
      </c>
      <c r="E16" s="8" t="n">
        <f aca="false">D16*'Education - How ESSP Works'!$B$5</f>
        <v>75</v>
      </c>
      <c r="F16" s="8" t="n">
        <f aca="false">D16*'Education - How ESSP Works'!$B$6</f>
        <v>600</v>
      </c>
      <c r="G16" s="8" t="n">
        <f aca="false">D16*'Education - How ESSP Works'!$B$7</f>
        <v>150</v>
      </c>
      <c r="H16" s="8" t="n">
        <f aca="false">D16*'Education - How ESSP Works'!$B$8</f>
        <v>75</v>
      </c>
      <c r="I16" s="8" t="n">
        <f aca="false">D16*'Education - How ESSP Works'!$B$10</f>
        <v>405000</v>
      </c>
    </row>
    <row r="17" customFormat="false" ht="15" hidden="false" customHeight="false" outlineLevel="0" collapsed="false">
      <c r="A17" s="5" t="n">
        <v>16</v>
      </c>
      <c r="B17" s="5" t="s">
        <v>215</v>
      </c>
      <c r="C17" s="5" t="s">
        <v>54</v>
      </c>
      <c r="D17" s="6" t="n">
        <v>72</v>
      </c>
      <c r="E17" s="8" t="n">
        <f aca="false">D17*'Education - How ESSP Works'!$B$5</f>
        <v>72</v>
      </c>
      <c r="F17" s="8" t="n">
        <f aca="false">D17*'Education - How ESSP Works'!$B$6</f>
        <v>576</v>
      </c>
      <c r="G17" s="8" t="n">
        <f aca="false">D17*'Education - How ESSP Works'!$B$7</f>
        <v>144</v>
      </c>
      <c r="H17" s="8" t="n">
        <f aca="false">D17*'Education - How ESSP Works'!$B$8</f>
        <v>72</v>
      </c>
      <c r="I17" s="8" t="n">
        <f aca="false">D17*'Education - How ESSP Works'!$B$10</f>
        <v>388800</v>
      </c>
    </row>
    <row r="18" customFormat="false" ht="15" hidden="false" customHeight="false" outlineLevel="0" collapsed="false">
      <c r="A18" s="5" t="n">
        <v>17</v>
      </c>
      <c r="B18" s="5" t="s">
        <v>216</v>
      </c>
      <c r="C18" s="5" t="s">
        <v>199</v>
      </c>
      <c r="D18" s="6" t="n">
        <v>70</v>
      </c>
      <c r="E18" s="8" t="n">
        <f aca="false">D18*'Education - How ESSP Works'!$B$5</f>
        <v>70</v>
      </c>
      <c r="F18" s="8" t="n">
        <f aca="false">D18*'Education - How ESSP Works'!$B$6</f>
        <v>560</v>
      </c>
      <c r="G18" s="8" t="n">
        <f aca="false">D18*'Education - How ESSP Works'!$B$7</f>
        <v>140</v>
      </c>
      <c r="H18" s="8" t="n">
        <f aca="false">D18*'Education - How ESSP Works'!$B$8</f>
        <v>70</v>
      </c>
      <c r="I18" s="8" t="n">
        <f aca="false">D18*'Education - How ESSP Works'!$B$10</f>
        <v>378000</v>
      </c>
    </row>
    <row r="19" customFormat="false" ht="15" hidden="false" customHeight="false" outlineLevel="0" collapsed="false">
      <c r="A19" s="5" t="n">
        <v>18</v>
      </c>
      <c r="B19" s="5" t="s">
        <v>217</v>
      </c>
      <c r="C19" s="5" t="s">
        <v>54</v>
      </c>
      <c r="D19" s="6" t="n">
        <v>50</v>
      </c>
      <c r="E19" s="8" t="n">
        <f aca="false">D19*'Education - How ESSP Works'!$B$5</f>
        <v>50</v>
      </c>
      <c r="F19" s="8" t="n">
        <f aca="false">D19*'Education - How ESSP Works'!$B$6</f>
        <v>400</v>
      </c>
      <c r="G19" s="8" t="n">
        <f aca="false">D19*'Education - How ESSP Works'!$B$7</f>
        <v>100</v>
      </c>
      <c r="H19" s="8" t="n">
        <f aca="false">D19*'Education - How ESSP Works'!$B$8</f>
        <v>50</v>
      </c>
      <c r="I19" s="8" t="n">
        <f aca="false">D19*'Education - How ESSP Works'!$B$10</f>
        <v>270000</v>
      </c>
    </row>
    <row r="20" customFormat="false" ht="15" hidden="false" customHeight="false" outlineLevel="0" collapsed="false">
      <c r="A20" s="5" t="n">
        <v>19</v>
      </c>
      <c r="B20" s="5" t="s">
        <v>218</v>
      </c>
      <c r="C20" s="5" t="s">
        <v>111</v>
      </c>
      <c r="D20" s="6" t="n">
        <v>41</v>
      </c>
      <c r="E20" s="8" t="n">
        <f aca="false">D20*'Education - How ESSP Works'!$B$5</f>
        <v>41</v>
      </c>
      <c r="F20" s="8" t="n">
        <f aca="false">D20*'Education - How ESSP Works'!$B$6</f>
        <v>328</v>
      </c>
      <c r="G20" s="8" t="n">
        <f aca="false">D20*'Education - How ESSP Works'!$B$7</f>
        <v>82</v>
      </c>
      <c r="H20" s="8" t="n">
        <f aca="false">D20*'Education - How ESSP Works'!$B$8</f>
        <v>41</v>
      </c>
      <c r="I20" s="8" t="n">
        <f aca="false">D20*'Education - How ESSP Works'!$B$10</f>
        <v>221400</v>
      </c>
    </row>
    <row r="21" customFormat="false" ht="15" hidden="false" customHeight="false" outlineLevel="0" collapsed="false">
      <c r="A21" s="5" t="n">
        <v>20</v>
      </c>
      <c r="B21" s="5" t="s">
        <v>219</v>
      </c>
      <c r="C21" s="5" t="s">
        <v>82</v>
      </c>
      <c r="D21" s="6" t="n">
        <v>37</v>
      </c>
      <c r="E21" s="8" t="n">
        <f aca="false">D21*'Education - How ESSP Works'!$B$5</f>
        <v>37</v>
      </c>
      <c r="F21" s="8" t="n">
        <f aca="false">D21*'Education - How ESSP Works'!$B$6</f>
        <v>296</v>
      </c>
      <c r="G21" s="8" t="n">
        <f aca="false">D21*'Education - How ESSP Works'!$B$7</f>
        <v>74</v>
      </c>
      <c r="H21" s="8" t="n">
        <f aca="false">D21*'Education - How ESSP Works'!$B$8</f>
        <v>37</v>
      </c>
      <c r="I21" s="8" t="n">
        <f aca="false">D21*'Education - How ESSP Works'!$B$10</f>
        <v>199800</v>
      </c>
    </row>
    <row r="22" customFormat="false" ht="15" hidden="false" customHeight="false" outlineLevel="0" collapsed="false">
      <c r="A22" s="5" t="n">
        <v>21</v>
      </c>
      <c r="B22" s="5" t="s">
        <v>220</v>
      </c>
      <c r="C22" s="5" t="s">
        <v>111</v>
      </c>
      <c r="D22" s="6" t="n">
        <v>35</v>
      </c>
      <c r="E22" s="8" t="n">
        <f aca="false">D22*'Education - How ESSP Works'!$B$5</f>
        <v>35</v>
      </c>
      <c r="F22" s="8" t="n">
        <f aca="false">D22*'Education - How ESSP Works'!$B$6</f>
        <v>280</v>
      </c>
      <c r="G22" s="8" t="n">
        <f aca="false">D22*'Education - How ESSP Works'!$B$7</f>
        <v>70</v>
      </c>
      <c r="H22" s="8" t="n">
        <f aca="false">D22*'Education - How ESSP Works'!$B$8</f>
        <v>35</v>
      </c>
      <c r="I22" s="8" t="n">
        <f aca="false">D22*'Education - How ESSP Works'!$B$10</f>
        <v>189000</v>
      </c>
    </row>
    <row r="23" customFormat="false" ht="15" hidden="false" customHeight="false" outlineLevel="0" collapsed="false">
      <c r="A23" s="5" t="n">
        <v>22</v>
      </c>
      <c r="B23" s="5" t="s">
        <v>221</v>
      </c>
      <c r="C23" s="5" t="s">
        <v>199</v>
      </c>
      <c r="D23" s="6" t="n">
        <v>35</v>
      </c>
      <c r="E23" s="8" t="n">
        <f aca="false">D23*'Education - How ESSP Works'!$B$5</f>
        <v>35</v>
      </c>
      <c r="F23" s="8" t="n">
        <f aca="false">D23*'Education - How ESSP Works'!$B$6</f>
        <v>280</v>
      </c>
      <c r="G23" s="8" t="n">
        <f aca="false">D23*'Education - How ESSP Works'!$B$7</f>
        <v>70</v>
      </c>
      <c r="H23" s="8" t="n">
        <f aca="false">D23*'Education - How ESSP Works'!$B$8</f>
        <v>35</v>
      </c>
      <c r="I23" s="8" t="n">
        <f aca="false">D23*'Education - How ESSP Works'!$B$10</f>
        <v>189000</v>
      </c>
    </row>
    <row r="24" customFormat="false" ht="15" hidden="false" customHeight="false" outlineLevel="0" collapsed="false">
      <c r="A24" s="5" t="n">
        <v>23</v>
      </c>
      <c r="B24" s="5" t="s">
        <v>222</v>
      </c>
      <c r="C24" s="5" t="s">
        <v>82</v>
      </c>
      <c r="D24" s="6" t="n">
        <v>34</v>
      </c>
      <c r="E24" s="8" t="n">
        <f aca="false">D24*'Education - How ESSP Works'!$B$5</f>
        <v>34</v>
      </c>
      <c r="F24" s="8" t="n">
        <f aca="false">D24*'Education - How ESSP Works'!$B$6</f>
        <v>272</v>
      </c>
      <c r="G24" s="8" t="n">
        <f aca="false">D24*'Education - How ESSP Works'!$B$7</f>
        <v>68</v>
      </c>
      <c r="H24" s="8" t="n">
        <f aca="false">D24*'Education - How ESSP Works'!$B$8</f>
        <v>34</v>
      </c>
      <c r="I24" s="8" t="n">
        <f aca="false">D24*'Education - How ESSP Works'!$B$10</f>
        <v>183600</v>
      </c>
    </row>
    <row r="25" customFormat="false" ht="15" hidden="false" customHeight="false" outlineLevel="0" collapsed="false">
      <c r="A25" s="5" t="n">
        <v>24</v>
      </c>
      <c r="B25" s="5" t="s">
        <v>223</v>
      </c>
      <c r="C25" s="5" t="s">
        <v>199</v>
      </c>
      <c r="D25" s="6" t="n">
        <v>30</v>
      </c>
      <c r="E25" s="8" t="n">
        <f aca="false">D25*'Education - How ESSP Works'!$B$5</f>
        <v>30</v>
      </c>
      <c r="F25" s="8" t="n">
        <f aca="false">D25*'Education - How ESSP Works'!$B$6</f>
        <v>240</v>
      </c>
      <c r="G25" s="8" t="n">
        <f aca="false">D25*'Education - How ESSP Works'!$B$7</f>
        <v>60</v>
      </c>
      <c r="H25" s="8" t="n">
        <f aca="false">D25*'Education - How ESSP Works'!$B$8</f>
        <v>30</v>
      </c>
      <c r="I25" s="8" t="n">
        <f aca="false">D25*'Education - How ESSP Works'!$B$10</f>
        <v>162000</v>
      </c>
    </row>
    <row r="26" customFormat="false" ht="15" hidden="false" customHeight="false" outlineLevel="0" collapsed="false">
      <c r="A26" s="5" t="n">
        <v>25</v>
      </c>
      <c r="B26" s="5" t="s">
        <v>224</v>
      </c>
      <c r="C26" s="5" t="s">
        <v>199</v>
      </c>
      <c r="D26" s="6" t="n">
        <v>30</v>
      </c>
      <c r="E26" s="8" t="n">
        <f aca="false">D26*'Education - How ESSP Works'!$B$5</f>
        <v>30</v>
      </c>
      <c r="F26" s="8" t="n">
        <f aca="false">D26*'Education - How ESSP Works'!$B$6</f>
        <v>240</v>
      </c>
      <c r="G26" s="8" t="n">
        <f aca="false">D26*'Education - How ESSP Works'!$B$7</f>
        <v>60</v>
      </c>
      <c r="H26" s="8" t="n">
        <f aca="false">D26*'Education - How ESSP Works'!$B$8</f>
        <v>30</v>
      </c>
      <c r="I26" s="8" t="n">
        <f aca="false">D26*'Education - How ESSP Works'!$B$10</f>
        <v>162000</v>
      </c>
    </row>
    <row r="27" customFormat="false" ht="15" hidden="false" customHeight="false" outlineLevel="0" collapsed="false">
      <c r="A27" s="5" t="n">
        <v>26</v>
      </c>
      <c r="B27" s="5" t="s">
        <v>225</v>
      </c>
      <c r="C27" s="5" t="s">
        <v>85</v>
      </c>
      <c r="D27" s="6" t="n">
        <v>30</v>
      </c>
      <c r="E27" s="8" t="n">
        <f aca="false">D27*'Education - How ESSP Works'!$B$5</f>
        <v>30</v>
      </c>
      <c r="F27" s="8" t="n">
        <f aca="false">D27*'Education - How ESSP Works'!$B$6</f>
        <v>240</v>
      </c>
      <c r="G27" s="8" t="n">
        <f aca="false">D27*'Education - How ESSP Works'!$B$7</f>
        <v>60</v>
      </c>
      <c r="H27" s="8" t="n">
        <f aca="false">D27*'Education - How ESSP Works'!$B$8</f>
        <v>30</v>
      </c>
      <c r="I27" s="8" t="n">
        <f aca="false">D27*'Education - How ESSP Works'!$B$10</f>
        <v>162000</v>
      </c>
    </row>
    <row r="28" customFormat="false" ht="15" hidden="false" customHeight="false" outlineLevel="0" collapsed="false">
      <c r="A28" s="5" t="n">
        <v>27</v>
      </c>
      <c r="B28" s="5" t="s">
        <v>226</v>
      </c>
      <c r="C28" s="5" t="s">
        <v>41</v>
      </c>
      <c r="D28" s="6" t="n">
        <v>25</v>
      </c>
      <c r="E28" s="8" t="n">
        <f aca="false">D28*'Education - How ESSP Works'!$B$5</f>
        <v>25</v>
      </c>
      <c r="F28" s="8" t="n">
        <f aca="false">D28*'Education - How ESSP Works'!$B$6</f>
        <v>200</v>
      </c>
      <c r="G28" s="8" t="n">
        <f aca="false">D28*'Education - How ESSP Works'!$B$7</f>
        <v>50</v>
      </c>
      <c r="H28" s="8" t="n">
        <f aca="false">D28*'Education - How ESSP Works'!$B$8</f>
        <v>25</v>
      </c>
      <c r="I28" s="8" t="n">
        <f aca="false">D28*'Education - How ESSP Works'!$B$10</f>
        <v>135000</v>
      </c>
    </row>
    <row r="29" customFormat="false" ht="15" hidden="false" customHeight="false" outlineLevel="0" collapsed="false">
      <c r="A29" s="5" t="n">
        <v>28</v>
      </c>
      <c r="B29" s="5" t="s">
        <v>227</v>
      </c>
      <c r="C29" s="5" t="s">
        <v>199</v>
      </c>
      <c r="D29" s="6" t="n">
        <v>22</v>
      </c>
      <c r="E29" s="8" t="n">
        <f aca="false">D29*'Education - How ESSP Works'!$B$5</f>
        <v>22</v>
      </c>
      <c r="F29" s="8" t="n">
        <f aca="false">D29*'Education - How ESSP Works'!$B$6</f>
        <v>176</v>
      </c>
      <c r="G29" s="8" t="n">
        <f aca="false">D29*'Education - How ESSP Works'!$B$7</f>
        <v>44</v>
      </c>
      <c r="H29" s="8" t="n">
        <f aca="false">D29*'Education - How ESSP Works'!$B$8</f>
        <v>22</v>
      </c>
      <c r="I29" s="8" t="n">
        <f aca="false">D29*'Education - How ESSP Works'!$B$10</f>
        <v>118800</v>
      </c>
    </row>
    <row r="30" customFormat="false" ht="15" hidden="false" customHeight="false" outlineLevel="0" collapsed="false">
      <c r="A30" s="5" t="n">
        <v>29</v>
      </c>
      <c r="B30" s="5" t="s">
        <v>228</v>
      </c>
      <c r="C30" s="5" t="s">
        <v>93</v>
      </c>
      <c r="D30" s="6" t="n">
        <v>3</v>
      </c>
      <c r="E30" s="8" t="n">
        <f aca="false">D30*'Education - How ESSP Works'!$B$5</f>
        <v>3</v>
      </c>
      <c r="F30" s="8" t="n">
        <f aca="false">D30*'Education - How ESSP Works'!$B$6</f>
        <v>24</v>
      </c>
      <c r="G30" s="8" t="n">
        <f aca="false">D30*'Education - How ESSP Works'!$B$7</f>
        <v>6</v>
      </c>
      <c r="H30" s="8" t="n">
        <f aca="false">D30*'Education - How ESSP Works'!$B$8</f>
        <v>3</v>
      </c>
      <c r="I30" s="8" t="n">
        <f aca="false">D30*'Education - How ESSP Works'!$B$10</f>
        <v>16200</v>
      </c>
    </row>
    <row r="31" customFormat="false" ht="15" hidden="false" customHeight="false" outlineLevel="0" collapsed="false">
      <c r="B31" s="12" t="s">
        <v>33</v>
      </c>
      <c r="D31" s="25" t="n">
        <f aca="false">SUM(D2:D30)</f>
        <v>3569</v>
      </c>
      <c r="E31" s="25" t="n">
        <f aca="false">SUM(E2:E30)</f>
        <v>3569</v>
      </c>
      <c r="F31" s="25" t="n">
        <f aca="false">SUM(F2:F30)</f>
        <v>28552</v>
      </c>
      <c r="G31" s="25" t="n">
        <f aca="false">SUM(G2:G30)</f>
        <v>7138</v>
      </c>
      <c r="H31" s="25" t="n">
        <f aca="false">SUM(H2:H30)</f>
        <v>3569</v>
      </c>
      <c r="I31" s="25" t="n">
        <f aca="false">SUM(I2:I30)</f>
        <v>19272600</v>
      </c>
    </row>
  </sheetData>
  <autoFilter ref="A1:I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6"/>
  </cols>
  <sheetData>
    <row r="1" customFormat="false" ht="57.75" hidden="false" customHeight="true" outlineLevel="0" collapsed="false">
      <c r="A1" s="2" t="s">
        <v>37</v>
      </c>
      <c r="B1" s="2" t="s">
        <v>229</v>
      </c>
      <c r="C1" s="2" t="s">
        <v>230</v>
      </c>
      <c r="D1" s="2" t="s">
        <v>231</v>
      </c>
      <c r="E1" s="2" t="s">
        <v>232</v>
      </c>
      <c r="F1" s="2" t="s">
        <v>233</v>
      </c>
      <c r="G1" s="2" t="s">
        <v>234</v>
      </c>
      <c r="H1" s="2" t="s">
        <v>235</v>
      </c>
      <c r="I1" s="2" t="s">
        <v>236</v>
      </c>
    </row>
    <row r="2" customFormat="false" ht="15" hidden="false" customHeight="false" outlineLevel="0" collapsed="false">
      <c r="A2" s="26" t="s">
        <v>75</v>
      </c>
      <c r="B2" s="8" t="n">
        <f aca="false">SUMIF('Food - All Deliveries'!$C$2:$C$108,A2,'Food - All Deliveries'!$D$2:$D$108)</f>
        <v>578</v>
      </c>
      <c r="C2" s="5" t="n">
        <f aca="false">COUNTIF('Food - All Deliveries'!$C$2:$C$108,A2)</f>
        <v>4</v>
      </c>
      <c r="D2" s="15" t="n">
        <v>18.4</v>
      </c>
      <c r="E2" s="5" t="str">
        <f aca="false">IF(AND(D2&gt;=20,B2&lt;500),"High need, low coverage",IF(B2=0,"No food packs yet",""))</f>
        <v/>
      </c>
      <c r="F2" s="8" t="n">
        <f aca="false">SUMIF('Education - Schools'!$C$2:$C$30,A2,'Education - Schools'!$D$2:$D$30)</f>
        <v>247</v>
      </c>
      <c r="G2" s="5" t="n">
        <f aca="false">COUNTIF('Education - Schools'!$C$2:$C$30,A2)</f>
        <v>1</v>
      </c>
      <c r="H2" s="15" t="n">
        <v>20</v>
      </c>
      <c r="I2" s="5" t="str">
        <f aca="false">IF(AND(H2&lt;=10,F2&lt;150),"High need, low coverage",IF(F2=0,"No ESSP yet",""))</f>
        <v/>
      </c>
    </row>
    <row r="3" customFormat="false" ht="15" hidden="false" customHeight="false" outlineLevel="0" collapsed="false">
      <c r="A3" s="26" t="s">
        <v>122</v>
      </c>
      <c r="B3" s="8" t="n">
        <f aca="false">SUMIF('Food - All Deliveries'!$C$2:$C$108,A3,'Food - All Deliveries'!$D$2:$D$108)</f>
        <v>200</v>
      </c>
      <c r="C3" s="5" t="n">
        <f aca="false">COUNTIF('Food - All Deliveries'!$C$2:$C$108,A3)</f>
        <v>2</v>
      </c>
      <c r="D3" s="15" t="n">
        <v>12.8</v>
      </c>
      <c r="E3" s="5" t="str">
        <f aca="false">IF(AND(D3&gt;=20,B3&lt;500),"High need, low coverage",IF(B3=0,"No food packs yet",""))</f>
        <v/>
      </c>
      <c r="F3" s="8" t="n">
        <f aca="false">SUMIF('Education - Schools'!$C$2:$C$30,A3,'Education - Schools'!$D$2:$D$30)</f>
        <v>0</v>
      </c>
      <c r="G3" s="5" t="n">
        <f aca="false">COUNTIF('Education - Schools'!$C$2:$C$30,A3)</f>
        <v>0</v>
      </c>
      <c r="H3" s="15" t="n">
        <v>11</v>
      </c>
      <c r="I3" s="5" t="str">
        <f aca="false">IF(AND(H3&lt;=10,F3&lt;150),"High need, low coverage",IF(F3=0,"No ESSP yet",""))</f>
        <v>No ESSP yet</v>
      </c>
    </row>
    <row r="4" customFormat="false" ht="15" hidden="false" customHeight="false" outlineLevel="0" collapsed="false">
      <c r="A4" s="26" t="s">
        <v>41</v>
      </c>
      <c r="B4" s="8" t="n">
        <f aca="false">SUMIF('Food - All Deliveries'!$C$2:$C$108,A4,'Food - All Deliveries'!$D$2:$D$108)</f>
        <v>4592</v>
      </c>
      <c r="C4" s="5" t="n">
        <f aca="false">COUNTIF('Food - All Deliveries'!$C$2:$C$108,A4)</f>
        <v>18</v>
      </c>
      <c r="D4" s="15" t="n">
        <v>16.5</v>
      </c>
      <c r="E4" s="5" t="str">
        <f aca="false">IF(AND(D4&gt;=20,B4&lt;500),"High need, low coverage",IF(B4=0,"No food packs yet",""))</f>
        <v/>
      </c>
      <c r="F4" s="8" t="n">
        <f aca="false">SUMIF('Education - Schools'!$C$2:$C$30,A4,'Education - Schools'!$D$2:$D$30)</f>
        <v>192</v>
      </c>
      <c r="G4" s="5" t="n">
        <f aca="false">COUNTIF('Education - Schools'!$C$2:$C$30,A4)</f>
        <v>2</v>
      </c>
      <c r="H4" s="15" t="n">
        <v>5</v>
      </c>
      <c r="I4" s="5" t="str">
        <f aca="false">IF(AND(H4&lt;=10,F4&lt;150),"High need, low coverage",IF(F4=0,"No ESSP yet",""))</f>
        <v/>
      </c>
    </row>
    <row r="5" customFormat="false" ht="15" hidden="false" customHeight="false" outlineLevel="0" collapsed="false">
      <c r="A5" s="26" t="s">
        <v>114</v>
      </c>
      <c r="B5" s="8" t="n">
        <f aca="false">SUMIF('Food - All Deliveries'!$C$2:$C$108,A5,'Food - All Deliveries'!$D$2:$D$108)</f>
        <v>600</v>
      </c>
      <c r="C5" s="5" t="n">
        <f aca="false">COUNTIF('Food - All Deliveries'!$C$2:$C$108,A5)</f>
        <v>4</v>
      </c>
      <c r="D5" s="15" t="n">
        <v>22.7</v>
      </c>
      <c r="E5" s="5" t="str">
        <f aca="false">IF(AND(D5&gt;=20,B5&lt;500),"High need, low coverage",IF(B5=0,"No food packs yet",""))</f>
        <v/>
      </c>
      <c r="F5" s="8" t="n">
        <f aca="false">SUMIF('Education - Schools'!$C$2:$C$30,A5,'Education - Schools'!$D$2:$D$30)</f>
        <v>270</v>
      </c>
      <c r="G5" s="5" t="n">
        <f aca="false">COUNTIF('Education - Schools'!$C$2:$C$30,A5)</f>
        <v>1</v>
      </c>
      <c r="H5" s="15" t="n">
        <v>6</v>
      </c>
      <c r="I5" s="5" t="str">
        <f aca="false">IF(AND(H5&lt;=10,F5&lt;150),"High need, low coverage",IF(F5=0,"No ESSP yet",""))</f>
        <v/>
      </c>
    </row>
    <row r="6" customFormat="false" ht="15" hidden="false" customHeight="false" outlineLevel="0" collapsed="false">
      <c r="A6" s="26" t="s">
        <v>93</v>
      </c>
      <c r="B6" s="8" t="n">
        <f aca="false">SUMIF('Food - All Deliveries'!$C$2:$C$108,A6,'Food - All Deliveries'!$D$2:$D$108)</f>
        <v>1047</v>
      </c>
      <c r="C6" s="5" t="n">
        <f aca="false">COUNTIF('Food - All Deliveries'!$C$2:$C$108,A6)</f>
        <v>12</v>
      </c>
      <c r="D6" s="15" t="n">
        <v>6.7</v>
      </c>
      <c r="E6" s="5" t="str">
        <f aca="false">IF(AND(D6&gt;=20,B6&lt;500),"High need, low coverage",IF(B6=0,"No food packs yet",""))</f>
        <v/>
      </c>
      <c r="F6" s="8" t="n">
        <f aca="false">SUMIF('Education - Schools'!$C$2:$C$30,A6,'Education - Schools'!$D$2:$D$30)</f>
        <v>3</v>
      </c>
      <c r="G6" s="5" t="n">
        <f aca="false">COUNTIF('Education - Schools'!$C$2:$C$30,A6)</f>
        <v>1</v>
      </c>
      <c r="H6" s="15" t="n">
        <v>22</v>
      </c>
      <c r="I6" s="5" t="str">
        <f aca="false">IF(AND(H6&lt;=10,F6&lt;150),"High need, low coverage",IF(F6=0,"No ESSP yet",""))</f>
        <v/>
      </c>
    </row>
    <row r="7" customFormat="false" ht="15" hidden="false" customHeight="false" outlineLevel="0" collapsed="false">
      <c r="A7" s="26" t="s">
        <v>199</v>
      </c>
      <c r="B7" s="8" t="n">
        <f aca="false">SUMIF('Food - All Deliveries'!$C$2:$C$108,A7,'Food - All Deliveries'!$D$2:$D$108)</f>
        <v>0</v>
      </c>
      <c r="C7" s="5" t="n">
        <f aca="false">COUNTIF('Food - All Deliveries'!$C$2:$C$108,A7)</f>
        <v>0</v>
      </c>
      <c r="D7" s="15" t="n">
        <v>16.1</v>
      </c>
      <c r="E7" s="5" t="str">
        <f aca="false">IF(AND(D7&gt;=20,B7&lt;500),"High need, low coverage",IF(B7=0,"No food packs yet",""))</f>
        <v>No food packs yet</v>
      </c>
      <c r="F7" s="8" t="n">
        <f aca="false">SUMIF('Education - Schools'!$C$2:$C$30,A7,'Education - Schools'!$D$2:$D$30)</f>
        <v>658</v>
      </c>
      <c r="G7" s="5" t="n">
        <f aca="false">COUNTIF('Education - Schools'!$C$2:$C$30,A7)</f>
        <v>7</v>
      </c>
      <c r="H7" s="15" t="n">
        <v>25</v>
      </c>
      <c r="I7" s="5" t="str">
        <f aca="false">IF(AND(H7&lt;=10,F7&lt;150),"High need, low coverage",IF(F7=0,"No ESSP yet",""))</f>
        <v/>
      </c>
    </row>
    <row r="8" customFormat="false" ht="15" hidden="false" customHeight="false" outlineLevel="0" collapsed="false">
      <c r="A8" s="26" t="s">
        <v>95</v>
      </c>
      <c r="B8" s="8" t="n">
        <f aca="false">SUMIF('Food - All Deliveries'!$C$2:$C$108,A8,'Food - All Deliveries'!$D$2:$D$108)</f>
        <v>380</v>
      </c>
      <c r="C8" s="5" t="n">
        <f aca="false">COUNTIF('Food - All Deliveries'!$C$2:$C$108,A8)</f>
        <v>3</v>
      </c>
      <c r="D8" s="15" t="n">
        <v>14.9</v>
      </c>
      <c r="E8" s="5" t="str">
        <f aca="false">IF(AND(D8&gt;=20,B8&lt;500),"High need, low coverage",IF(B8=0,"No food packs yet",""))</f>
        <v/>
      </c>
      <c r="F8" s="8" t="n">
        <f aca="false">SUMIF('Education - Schools'!$C$2:$C$30,A8,'Education - Schools'!$D$2:$D$30)</f>
        <v>0</v>
      </c>
      <c r="G8" s="5" t="n">
        <f aca="false">COUNTIF('Education - Schools'!$C$2:$C$30,A8)</f>
        <v>0</v>
      </c>
      <c r="H8" s="15" t="n">
        <v>18</v>
      </c>
      <c r="I8" s="5" t="str">
        <f aca="false">IF(AND(H8&lt;=10,F8&lt;150),"High need, low coverage",IF(F8=0,"No ESSP yet",""))</f>
        <v>No ESSP yet</v>
      </c>
    </row>
    <row r="9" customFormat="false" ht="15" hidden="false" customHeight="false" outlineLevel="0" collapsed="false">
      <c r="A9" s="26" t="s">
        <v>237</v>
      </c>
      <c r="B9" s="8" t="n">
        <f aca="false">SUMIF('Food - All Deliveries'!$C$2:$C$108,A9,'Food - All Deliveries'!$D$2:$D$108)</f>
        <v>0</v>
      </c>
      <c r="C9" s="5" t="n">
        <f aca="false">COUNTIF('Food - All Deliveries'!$C$2:$C$108,A9)</f>
        <v>0</v>
      </c>
      <c r="D9" s="15" t="n">
        <v>11.9</v>
      </c>
      <c r="E9" s="5" t="str">
        <f aca="false">IF(AND(D9&gt;=20,B9&lt;500),"High need, low coverage",IF(B9=0,"No food packs yet",""))</f>
        <v>No food packs yet</v>
      </c>
      <c r="F9" s="8" t="n">
        <f aca="false">SUMIF('Education - Schools'!$C$2:$C$30,A9,'Education - Schools'!$D$2:$D$30)</f>
        <v>0</v>
      </c>
      <c r="G9" s="5" t="n">
        <f aca="false">COUNTIF('Education - Schools'!$C$2:$C$30,A9)</f>
        <v>0</v>
      </c>
      <c r="H9" s="15" t="n">
        <v>15</v>
      </c>
      <c r="I9" s="5" t="str">
        <f aca="false">IF(AND(H9&lt;=10,F9&lt;150),"High need, low coverage",IF(F9=0,"No ESSP yet",""))</f>
        <v>No ESSP yet</v>
      </c>
    </row>
    <row r="10" customFormat="false" ht="15" hidden="false" customHeight="false" outlineLevel="0" collapsed="false">
      <c r="A10" s="26" t="s">
        <v>49</v>
      </c>
      <c r="B10" s="8" t="n">
        <f aca="false">SUMIF('Food - All Deliveries'!$C$2:$C$108,A10,'Food - All Deliveries'!$D$2:$D$108)</f>
        <v>760</v>
      </c>
      <c r="C10" s="5" t="n">
        <f aca="false">COUNTIF('Food - All Deliveries'!$C$2:$C$108,A10)</f>
        <v>3</v>
      </c>
      <c r="D10" s="15" t="n">
        <v>15.4</v>
      </c>
      <c r="E10" s="5" t="str">
        <f aca="false">IF(AND(D10&gt;=20,B10&lt;500),"High need, low coverage",IF(B10=0,"No food packs yet",""))</f>
        <v/>
      </c>
      <c r="F10" s="8" t="n">
        <f aca="false">SUMIF('Education - Schools'!$C$2:$C$30,A10,'Education - Schools'!$D$2:$D$30)</f>
        <v>252</v>
      </c>
      <c r="G10" s="5" t="n">
        <f aca="false">COUNTIF('Education - Schools'!$C$2:$C$30,A10)</f>
        <v>1</v>
      </c>
      <c r="H10" s="15" t="n">
        <v>17</v>
      </c>
      <c r="I10" s="5" t="str">
        <f aca="false">IF(AND(H10&lt;=10,F10&lt;150),"High need, low coverage",IF(F10=0,"No ESSP yet",""))</f>
        <v/>
      </c>
    </row>
    <row r="11" customFormat="false" ht="15" hidden="false" customHeight="false" outlineLevel="0" collapsed="false">
      <c r="A11" s="26" t="s">
        <v>238</v>
      </c>
      <c r="B11" s="8" t="n">
        <f aca="false">SUMIF('Food - All Deliveries'!$C$2:$C$108,A11,'Food - All Deliveries'!$D$2:$D$108)</f>
        <v>0</v>
      </c>
      <c r="C11" s="5" t="n">
        <f aca="false">COUNTIF('Food - All Deliveries'!$C$2:$C$108,A11)</f>
        <v>0</v>
      </c>
      <c r="D11" s="15" t="n">
        <v>12.4</v>
      </c>
      <c r="E11" s="5" t="str">
        <f aca="false">IF(AND(D11&gt;=20,B11&lt;500),"High need, low coverage",IF(B11=0,"No food packs yet",""))</f>
        <v>No food packs yet</v>
      </c>
      <c r="F11" s="8" t="n">
        <f aca="false">SUMIF('Education - Schools'!$C$2:$C$30,A11,'Education - Schools'!$D$2:$D$30)</f>
        <v>0</v>
      </c>
      <c r="G11" s="5" t="n">
        <f aca="false">COUNTIF('Education - Schools'!$C$2:$C$30,A11)</f>
        <v>0</v>
      </c>
      <c r="H11" s="15" t="n">
        <v>19</v>
      </c>
      <c r="I11" s="5" t="str">
        <f aca="false">IF(AND(H11&lt;=10,F11&lt;150),"High need, low coverage",IF(F11=0,"No ESSP yet",""))</f>
        <v>No ESSP yet</v>
      </c>
    </row>
    <row r="12" customFormat="false" ht="15" hidden="false" customHeight="false" outlineLevel="0" collapsed="false">
      <c r="A12" s="26" t="s">
        <v>85</v>
      </c>
      <c r="B12" s="8" t="n">
        <f aca="false">SUMIF('Food - All Deliveries'!$C$2:$C$108,A12,'Food - All Deliveries'!$D$2:$D$108)</f>
        <v>1880</v>
      </c>
      <c r="C12" s="5" t="n">
        <f aca="false">COUNTIF('Food - All Deliveries'!$C$2:$C$108,A12)</f>
        <v>15</v>
      </c>
      <c r="D12" s="15" t="n">
        <v>8.7</v>
      </c>
      <c r="E12" s="5" t="str">
        <f aca="false">IF(AND(D12&gt;=20,B12&lt;500),"High need, low coverage",IF(B12=0,"No food packs yet",""))</f>
        <v/>
      </c>
      <c r="F12" s="8" t="n">
        <f aca="false">SUMIF('Education - Schools'!$C$2:$C$30,A12,'Education - Schools'!$D$2:$D$30)</f>
        <v>30</v>
      </c>
      <c r="G12" s="5" t="n">
        <f aca="false">COUNTIF('Education - Schools'!$C$2:$C$30,A12)</f>
        <v>1</v>
      </c>
      <c r="H12" s="15" t="n">
        <v>9</v>
      </c>
      <c r="I12" s="5" t="str">
        <f aca="false">IF(AND(H12&lt;=10,F12&lt;150),"High need, low coverage",IF(F12=0,"No ESSP yet",""))</f>
        <v>High need, low coverage</v>
      </c>
    </row>
    <row r="13" customFormat="false" ht="15" hidden="false" customHeight="false" outlineLevel="0" collapsed="false">
      <c r="A13" s="26" t="s">
        <v>239</v>
      </c>
      <c r="B13" s="8" t="n">
        <f aca="false">SUMIF('Food - All Deliveries'!$C$2:$C$108,A13,'Food - All Deliveries'!$D$2:$D$108)</f>
        <v>0</v>
      </c>
      <c r="C13" s="5" t="n">
        <f aca="false">COUNTIF('Food - All Deliveries'!$C$2:$C$108,A13)</f>
        <v>0</v>
      </c>
      <c r="D13" s="15" t="n">
        <v>8.6</v>
      </c>
      <c r="E13" s="5" t="str">
        <f aca="false">IF(AND(D13&gt;=20,B13&lt;500),"High need, low coverage",IF(B13=0,"No food packs yet",""))</f>
        <v>No food packs yet</v>
      </c>
      <c r="F13" s="8" t="n">
        <f aca="false">SUMIF('Education - Schools'!$C$2:$C$30,A13,'Education - Schools'!$D$2:$D$30)</f>
        <v>0</v>
      </c>
      <c r="G13" s="5" t="n">
        <f aca="false">COUNTIF('Education - Schools'!$C$2:$C$30,A13)</f>
        <v>0</v>
      </c>
      <c r="H13" s="15" t="n">
        <v>23</v>
      </c>
      <c r="I13" s="5" t="str">
        <f aca="false">IF(AND(H13&lt;=10,F13&lt;150),"High need, low coverage",IF(F13=0,"No ESSP yet",""))</f>
        <v>No ESSP yet</v>
      </c>
    </row>
    <row r="14" customFormat="false" ht="15" hidden="false" customHeight="false" outlineLevel="0" collapsed="false">
      <c r="A14" s="26" t="s">
        <v>67</v>
      </c>
      <c r="B14" s="8" t="n">
        <f aca="false">SUMIF('Food - All Deliveries'!$C$2:$C$108,A14,'Food - All Deliveries'!$D$2:$D$108)</f>
        <v>835</v>
      </c>
      <c r="C14" s="5" t="n">
        <f aca="false">COUNTIF('Food - All Deliveries'!$C$2:$C$108,A14)</f>
        <v>4</v>
      </c>
      <c r="D14" s="15" t="n">
        <v>29</v>
      </c>
      <c r="E14" s="5" t="str">
        <f aca="false">IF(AND(D14&gt;=20,B14&lt;500),"High need, low coverage",IF(B14=0,"No food packs yet",""))</f>
        <v/>
      </c>
      <c r="F14" s="8" t="n">
        <f aca="false">SUMIF('Education - Schools'!$C$2:$C$30,A14,'Education - Schools'!$D$2:$D$30)</f>
        <v>260</v>
      </c>
      <c r="G14" s="5" t="n">
        <f aca="false">COUNTIF('Education - Schools'!$C$2:$C$30,A14)</f>
        <v>1</v>
      </c>
      <c r="H14" s="15" t="n">
        <v>13</v>
      </c>
      <c r="I14" s="5" t="str">
        <f aca="false">IF(AND(H14&lt;=10,F14&lt;150),"High need, low coverage",IF(F14=0,"No ESSP yet",""))</f>
        <v/>
      </c>
    </row>
    <row r="15" customFormat="false" ht="15" hidden="false" customHeight="false" outlineLevel="0" collapsed="false">
      <c r="A15" s="26" t="s">
        <v>125</v>
      </c>
      <c r="B15" s="8" t="n">
        <f aca="false">SUMIF('Food - All Deliveries'!$C$2:$C$108,A15,'Food - All Deliveries'!$D$2:$D$108)</f>
        <v>390</v>
      </c>
      <c r="C15" s="5" t="n">
        <f aca="false">COUNTIF('Food - All Deliveries'!$C$2:$C$108,A15)</f>
        <v>4</v>
      </c>
      <c r="D15" s="15" t="n">
        <v>17.9</v>
      </c>
      <c r="E15" s="5" t="str">
        <f aca="false">IF(AND(D15&gt;=20,B15&lt;500),"High need, low coverage",IF(B15=0,"No food packs yet",""))</f>
        <v/>
      </c>
      <c r="F15" s="8" t="n">
        <f aca="false">SUMIF('Education - Schools'!$C$2:$C$30,A15,'Education - Schools'!$D$2:$D$30)</f>
        <v>0</v>
      </c>
      <c r="G15" s="5" t="n">
        <f aca="false">COUNTIF('Education - Schools'!$C$2:$C$30,A15)</f>
        <v>0</v>
      </c>
      <c r="H15" s="15" t="n">
        <v>14</v>
      </c>
      <c r="I15" s="5" t="str">
        <f aca="false">IF(AND(H15&lt;=10,F15&lt;150),"High need, low coverage",IF(F15=0,"No ESSP yet",""))</f>
        <v>No ESSP yet</v>
      </c>
    </row>
    <row r="16" customFormat="false" ht="15" hidden="false" customHeight="false" outlineLevel="0" collapsed="false">
      <c r="A16" s="26" t="s">
        <v>64</v>
      </c>
      <c r="B16" s="8" t="n">
        <f aca="false">SUMIF('Food - All Deliveries'!$C$2:$C$108,A16,'Food - All Deliveries'!$D$2:$D$108)</f>
        <v>450</v>
      </c>
      <c r="C16" s="5" t="n">
        <f aca="false">COUNTIF('Food - All Deliveries'!$C$2:$C$108,A16)</f>
        <v>2</v>
      </c>
      <c r="D16" s="15" t="n">
        <v>28.9</v>
      </c>
      <c r="E16" s="5" t="str">
        <f aca="false">IF(AND(D16&gt;=20,B16&lt;500),"High need, low coverage",IF(B16=0,"No food packs yet",""))</f>
        <v>High need, low coverage</v>
      </c>
      <c r="F16" s="8" t="n">
        <f aca="false">SUMIF('Education - Schools'!$C$2:$C$30,A16,'Education - Schools'!$D$2:$D$30)</f>
        <v>0</v>
      </c>
      <c r="G16" s="5" t="n">
        <f aca="false">COUNTIF('Education - Schools'!$C$2:$C$30,A16)</f>
        <v>0</v>
      </c>
      <c r="H16" s="15" t="n">
        <v>10</v>
      </c>
      <c r="I16" s="5" t="str">
        <f aca="false">IF(AND(H16&lt;=10,F16&lt;150),"High need, low coverage",IF(F16=0,"No ESSP yet",""))</f>
        <v>High need, low coverage</v>
      </c>
    </row>
    <row r="17" customFormat="false" ht="15" hidden="false" customHeight="false" outlineLevel="0" collapsed="false">
      <c r="A17" s="26" t="s">
        <v>82</v>
      </c>
      <c r="B17" s="8" t="n">
        <f aca="false">SUMIF('Food - All Deliveries'!$C$2:$C$108,A17,'Food - All Deliveries'!$D$2:$D$108)</f>
        <v>350</v>
      </c>
      <c r="C17" s="5" t="n">
        <f aca="false">COUNTIF('Food - All Deliveries'!$C$2:$C$108,A17)</f>
        <v>3</v>
      </c>
      <c r="D17" s="15" t="n">
        <v>21.2</v>
      </c>
      <c r="E17" s="5" t="str">
        <f aca="false">IF(AND(D17&gt;=20,B17&lt;500),"High need, low coverage",IF(B17=0,"No food packs yet",""))</f>
        <v>High need, low coverage</v>
      </c>
      <c r="F17" s="8" t="n">
        <f aca="false">SUMIF('Education - Schools'!$C$2:$C$30,A17,'Education - Schools'!$D$2:$D$30)</f>
        <v>569</v>
      </c>
      <c r="G17" s="5" t="n">
        <f aca="false">COUNTIF('Education - Schools'!$C$2:$C$30,A17)</f>
        <v>4</v>
      </c>
      <c r="H17" s="15" t="n">
        <v>16</v>
      </c>
      <c r="I17" s="5" t="str">
        <f aca="false">IF(AND(H17&lt;=10,F17&lt;150),"High need, low coverage",IF(F17=0,"No ESSP yet",""))</f>
        <v/>
      </c>
    </row>
    <row r="18" customFormat="false" ht="15" hidden="false" customHeight="false" outlineLevel="0" collapsed="false">
      <c r="A18" s="26" t="s">
        <v>240</v>
      </c>
      <c r="B18" s="8" t="n">
        <f aca="false">SUMIF('Food - All Deliveries'!$C$2:$C$108,A18,'Food - All Deliveries'!$D$2:$D$108)</f>
        <v>0</v>
      </c>
      <c r="C18" s="5" t="n">
        <f aca="false">COUNTIF('Food - All Deliveries'!$C$2:$C$108,A18)</f>
        <v>0</v>
      </c>
      <c r="D18" s="15" t="n">
        <v>15.7</v>
      </c>
      <c r="E18" s="5" t="str">
        <f aca="false">IF(AND(D18&gt;=20,B18&lt;500),"High need, low coverage",IF(B18=0,"No food packs yet",""))</f>
        <v>No food packs yet</v>
      </c>
      <c r="F18" s="8" t="n">
        <f aca="false">SUMIF('Education - Schools'!$C$2:$C$30,A18,'Education - Schools'!$D$2:$D$30)</f>
        <v>0</v>
      </c>
      <c r="G18" s="5" t="n">
        <f aca="false">COUNTIF('Education - Schools'!$C$2:$C$30,A18)</f>
        <v>0</v>
      </c>
      <c r="H18" s="15" t="n">
        <v>24</v>
      </c>
      <c r="I18" s="5" t="str">
        <f aca="false">IF(AND(H18&lt;=10,F18&lt;150),"High need, low coverage",IF(F18=0,"No ESSP yet",""))</f>
        <v>No ESSP yet</v>
      </c>
    </row>
    <row r="19" customFormat="false" ht="15" hidden="false" customHeight="false" outlineLevel="0" collapsed="false">
      <c r="A19" s="26" t="s">
        <v>130</v>
      </c>
      <c r="B19" s="8" t="n">
        <f aca="false">SUMIF('Food - All Deliveries'!$C$2:$C$108,A19,'Food - All Deliveries'!$D$2:$D$108)</f>
        <v>152</v>
      </c>
      <c r="C19" s="5" t="n">
        <f aca="false">COUNTIF('Food - All Deliveries'!$C$2:$C$108,A19)</f>
        <v>2</v>
      </c>
      <c r="D19" s="15" t="n">
        <v>21.6</v>
      </c>
      <c r="E19" s="5" t="str">
        <f aca="false">IF(AND(D19&gt;=20,B19&lt;500),"High need, low coverage",IF(B19=0,"No food packs yet",""))</f>
        <v>High need, low coverage</v>
      </c>
      <c r="F19" s="8" t="n">
        <f aca="false">SUMIF('Education - Schools'!$C$2:$C$30,A19,'Education - Schools'!$D$2:$D$30)</f>
        <v>0</v>
      </c>
      <c r="G19" s="5" t="n">
        <f aca="false">COUNTIF('Education - Schools'!$C$2:$C$30,A19)</f>
        <v>0</v>
      </c>
      <c r="H19" s="15" t="n">
        <v>3</v>
      </c>
      <c r="I19" s="5" t="str">
        <f aca="false">IF(AND(H19&lt;=10,F19&lt;150),"High need, low coverage",IF(F19=0,"No ESSP yet",""))</f>
        <v>High need, low coverage</v>
      </c>
    </row>
    <row r="20" customFormat="false" ht="15" hidden="false" customHeight="false" outlineLevel="0" collapsed="false">
      <c r="A20" s="26" t="s">
        <v>70</v>
      </c>
      <c r="B20" s="8" t="n">
        <f aca="false">SUMIF('Food - All Deliveries'!$C$2:$C$108,A20,'Food - All Deliveries'!$D$2:$D$108)</f>
        <v>385</v>
      </c>
      <c r="C20" s="5" t="n">
        <f aca="false">COUNTIF('Food - All Deliveries'!$C$2:$C$108,A20)</f>
        <v>2</v>
      </c>
      <c r="D20" s="15" t="n">
        <v>29.3</v>
      </c>
      <c r="E20" s="5" t="str">
        <f aca="false">IF(AND(D20&gt;=20,B20&lt;500),"High need, low coverage",IF(B20=0,"No food packs yet",""))</f>
        <v>High need, low coverage</v>
      </c>
      <c r="F20" s="8" t="n">
        <f aca="false">SUMIF('Education - Schools'!$C$2:$C$30,A20,'Education - Schools'!$D$2:$D$30)</f>
        <v>91</v>
      </c>
      <c r="G20" s="5" t="n">
        <f aca="false">COUNTIF('Education - Schools'!$C$2:$C$30,A20)</f>
        <v>1</v>
      </c>
      <c r="H20" s="15" t="n">
        <v>21</v>
      </c>
      <c r="I20" s="5" t="str">
        <f aca="false">IF(AND(H20&lt;=10,F20&lt;150),"High need, low coverage",IF(F20=0,"No ESSP yet",""))</f>
        <v/>
      </c>
    </row>
    <row r="21" customFormat="false" ht="15" hidden="false" customHeight="false" outlineLevel="0" collapsed="false">
      <c r="A21" s="26" t="s">
        <v>54</v>
      </c>
      <c r="B21" s="8" t="n">
        <f aca="false">SUMIF('Food - All Deliveries'!$C$2:$C$108,A21,'Food - All Deliveries'!$D$2:$D$108)</f>
        <v>1538</v>
      </c>
      <c r="C21" s="5" t="n">
        <f aca="false">COUNTIF('Food - All Deliveries'!$C$2:$C$108,A21)</f>
        <v>10</v>
      </c>
      <c r="D21" s="15" t="n">
        <v>27.5</v>
      </c>
      <c r="E21" s="5" t="str">
        <f aca="false">IF(AND(D21&gt;=20,B21&lt;500),"High need, low coverage",IF(B21=0,"No food packs yet",""))</f>
        <v/>
      </c>
      <c r="F21" s="8" t="n">
        <f aca="false">SUMIF('Education - Schools'!$C$2:$C$30,A21,'Education - Schools'!$D$2:$D$30)</f>
        <v>222</v>
      </c>
      <c r="G21" s="5" t="n">
        <f aca="false">COUNTIF('Education - Schools'!$C$2:$C$30,A21)</f>
        <v>3</v>
      </c>
      <c r="H21" s="15" t="n">
        <v>1</v>
      </c>
      <c r="I21" s="5" t="str">
        <f aca="false">IF(AND(H21&lt;=10,F21&lt;150),"High need, low coverage",IF(F21=0,"No ESSP yet",""))</f>
        <v/>
      </c>
    </row>
    <row r="22" customFormat="false" ht="15" hidden="false" customHeight="false" outlineLevel="0" collapsed="false">
      <c r="A22" s="26" t="s">
        <v>105</v>
      </c>
      <c r="B22" s="8" t="n">
        <f aca="false">SUMIF('Food - All Deliveries'!$C$2:$C$108,A22,'Food - All Deliveries'!$D$2:$D$108)</f>
        <v>440</v>
      </c>
      <c r="C22" s="5" t="n">
        <f aca="false">COUNTIF('Food - All Deliveries'!$C$2:$C$108,A22)</f>
        <v>4</v>
      </c>
      <c r="D22" s="15" t="n">
        <v>15.2</v>
      </c>
      <c r="E22" s="5" t="str">
        <f aca="false">IF(AND(D22&gt;=20,B22&lt;500),"High need, low coverage",IF(B22=0,"No food packs yet",""))</f>
        <v/>
      </c>
      <c r="F22" s="8" t="n">
        <f aca="false">SUMIF('Education - Schools'!$C$2:$C$30,A22,'Education - Schools'!$D$2:$D$30)</f>
        <v>282</v>
      </c>
      <c r="G22" s="5" t="n">
        <f aca="false">COUNTIF('Education - Schools'!$C$2:$C$30,A22)</f>
        <v>1</v>
      </c>
      <c r="H22" s="15" t="n">
        <v>8</v>
      </c>
      <c r="I22" s="5" t="str">
        <f aca="false">IF(AND(H22&lt;=10,F22&lt;150),"High need, low coverage",IF(F22=0,"No ESSP yet",""))</f>
        <v/>
      </c>
    </row>
    <row r="23" customFormat="false" ht="15" hidden="false" customHeight="false" outlineLevel="0" collapsed="false">
      <c r="A23" s="26" t="s">
        <v>62</v>
      </c>
      <c r="B23" s="8" t="n">
        <f aca="false">SUMIF('Food - All Deliveries'!$C$2:$C$108,A23,'Food - All Deliveries'!$D$2:$D$108)</f>
        <v>550</v>
      </c>
      <c r="C23" s="5" t="n">
        <f aca="false">COUNTIF('Food - All Deliveries'!$C$2:$C$108,A23)</f>
        <v>3</v>
      </c>
      <c r="D23" s="15" t="n">
        <v>18.6</v>
      </c>
      <c r="E23" s="5" t="str">
        <f aca="false">IF(AND(D23&gt;=20,B23&lt;500),"High need, low coverage",IF(B23=0,"No food packs yet",""))</f>
        <v/>
      </c>
      <c r="F23" s="8" t="n">
        <f aca="false">SUMIF('Education - Schools'!$C$2:$C$30,A23,'Education - Schools'!$D$2:$D$30)</f>
        <v>150</v>
      </c>
      <c r="G23" s="5" t="n">
        <f aca="false">COUNTIF('Education - Schools'!$C$2:$C$30,A23)</f>
        <v>1</v>
      </c>
      <c r="H23" s="15" t="n">
        <v>2</v>
      </c>
      <c r="I23" s="5" t="str">
        <f aca="false">IF(AND(H23&lt;=10,F23&lt;150),"High need, low coverage",IF(F23=0,"No ESSP yet",""))</f>
        <v/>
      </c>
    </row>
    <row r="24" customFormat="false" ht="15" hidden="false" customHeight="false" outlineLevel="0" collapsed="false">
      <c r="A24" s="26" t="s">
        <v>108</v>
      </c>
      <c r="B24" s="8" t="n">
        <f aca="false">SUMIF('Food - All Deliveries'!$C$2:$C$108,A24,'Food - All Deliveries'!$D$2:$D$108)</f>
        <v>150</v>
      </c>
      <c r="C24" s="5" t="n">
        <f aca="false">COUNTIF('Food - All Deliveries'!$C$2:$C$108,A24)</f>
        <v>1</v>
      </c>
      <c r="D24" s="15" t="n">
        <v>26.2</v>
      </c>
      <c r="E24" s="5" t="str">
        <f aca="false">IF(AND(D24&gt;=20,B24&lt;500),"High need, low coverage",IF(B24=0,"No food packs yet",""))</f>
        <v>High need, low coverage</v>
      </c>
      <c r="F24" s="8" t="n">
        <f aca="false">SUMIF('Education - Schools'!$C$2:$C$30,A24,'Education - Schools'!$D$2:$D$30)</f>
        <v>192</v>
      </c>
      <c r="G24" s="5" t="n">
        <f aca="false">COUNTIF('Education - Schools'!$C$2:$C$30,A24)</f>
        <v>1</v>
      </c>
      <c r="H24" s="15" t="n">
        <v>4</v>
      </c>
      <c r="I24" s="5" t="str">
        <f aca="false">IF(AND(H24&lt;=10,F24&lt;150),"High need, low coverage",IF(F24=0,"No ESSP yet",""))</f>
        <v/>
      </c>
    </row>
    <row r="25" customFormat="false" ht="15" hidden="false" customHeight="false" outlineLevel="0" collapsed="false">
      <c r="A25" s="26" t="s">
        <v>113</v>
      </c>
      <c r="B25" s="8" t="n">
        <f aca="false">SUMIF('Food - All Deliveries'!$C$2:$C$108,A25,'Food - All Deliveries'!$D$2:$D$108)</f>
        <v>617</v>
      </c>
      <c r="C25" s="5" t="n">
        <f aca="false">COUNTIF('Food - All Deliveries'!$C$2:$C$108,A25)</f>
        <v>6</v>
      </c>
      <c r="D25" s="15" t="n">
        <v>20.3</v>
      </c>
      <c r="E25" s="5" t="str">
        <f aca="false">IF(AND(D25&gt;=20,B25&lt;500),"High need, low coverage",IF(B25=0,"No food packs yet",""))</f>
        <v/>
      </c>
      <c r="F25" s="8" t="n">
        <f aca="false">SUMIF('Education - Schools'!$C$2:$C$30,A25,'Education - Schools'!$D$2:$D$30)</f>
        <v>0</v>
      </c>
      <c r="G25" s="5" t="n">
        <f aca="false">COUNTIF('Education - Schools'!$C$2:$C$30,A25)</f>
        <v>0</v>
      </c>
      <c r="H25" s="15" t="n">
        <v>12</v>
      </c>
      <c r="I25" s="5" t="str">
        <f aca="false">IF(AND(H25&lt;=10,F25&lt;150),"High need, low coverage",IF(F25=0,"No ESSP yet",""))</f>
        <v>No ESSP yet</v>
      </c>
    </row>
    <row r="26" customFormat="false" ht="15" hidden="false" customHeight="false" outlineLevel="0" collapsed="false">
      <c r="A26" s="26" t="s">
        <v>111</v>
      </c>
      <c r="B26" s="8" t="n">
        <f aca="false">SUMIF('Food - All Deliveries'!$C$2:$C$108,A26,'Food - All Deliveries'!$D$2:$D$108)</f>
        <v>500</v>
      </c>
      <c r="C26" s="5" t="n">
        <f aca="false">COUNTIF('Food - All Deliveries'!$C$2:$C$108,A26)</f>
        <v>3</v>
      </c>
      <c r="D26" s="15" t="n">
        <v>27.2</v>
      </c>
      <c r="E26" s="5" t="str">
        <f aca="false">IF(AND(D26&gt;=20,B26&lt;500),"High need, low coverage",IF(B26=0,"No food packs yet",""))</f>
        <v/>
      </c>
      <c r="F26" s="8" t="n">
        <f aca="false">SUMIF('Education - Schools'!$C$2:$C$30,A26,'Education - Schools'!$D$2:$D$30)</f>
        <v>76</v>
      </c>
      <c r="G26" s="5" t="n">
        <f aca="false">COUNTIF('Education - Schools'!$C$2:$C$30,A26)</f>
        <v>2</v>
      </c>
      <c r="H26" s="15" t="n">
        <v>7</v>
      </c>
      <c r="I26" s="5" t="str">
        <f aca="false">IF(AND(H26&lt;=10,F26&lt;150),"High need, low coverage",IF(F26=0,"No ESSP yet",""))</f>
        <v>High need, low coverage</v>
      </c>
    </row>
    <row r="27" customFormat="false" ht="15" hidden="false" customHeight="false" outlineLevel="0" collapsed="false">
      <c r="A27" s="14" t="s">
        <v>241</v>
      </c>
    </row>
    <row r="28" customFormat="false" ht="15" hidden="false" customHeight="false" outlineLevel="0" collapsed="false">
      <c r="A28" s="14" t="s">
        <v>242</v>
      </c>
    </row>
    <row r="29" customFormat="false" ht="15" hidden="false" customHeight="false" outlineLevel="0" collapsed="false">
      <c r="A29" s="14" t="s">
        <v>243</v>
      </c>
    </row>
  </sheetData>
  <autoFilter ref="A1:I26"/>
  <conditionalFormatting sqref="B2:B26">
    <cfRule type="colorScale" priority="2">
      <colorScale>
        <cfvo type="min" val="0"/>
        <cfvo type="max" val="0"/>
        <color rgb="FFFFFFFF"/>
        <color rgb="FF63BE7B"/>
      </colorScale>
    </cfRule>
  </conditionalFormatting>
  <conditionalFormatting sqref="F2:F26">
    <cfRule type="colorScale" priority="3">
      <colorScale>
        <cfvo type="min" val="0"/>
        <cfvo type="max" val="0"/>
        <color rgb="FFFFFFFF"/>
        <color rgb="FFF4B18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2026-09-25T09:14:51Z</dcterms:created>
  <dc:creator>openpyxl</dc:creator>
  <dc:description/>
  <dc:language>en-US</dc:language>
  <cp:lastModifiedBy/>
  <dcterms:modified xsi:type="dcterms:W3CDTF">2026-09-25T09:14:51Z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